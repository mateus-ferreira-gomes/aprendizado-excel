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DELL\Desktop\Meus projetos\aprendizado-excel\Base de dados\"/>
    </mc:Choice>
  </mc:AlternateContent>
  <xr:revisionPtr revIDLastSave="0" documentId="8_{89D32D65-C6FF-4DC1-9038-84A3EA47E9BC}" xr6:coauthVersionLast="47" xr6:coauthVersionMax="47" xr10:uidLastSave="{00000000-0000-0000-0000-000000000000}"/>
  <bookViews>
    <workbookView xWindow="-110" yWindow="-110" windowWidth="25820" windowHeight="10300" activeTab="2" xr2:uid="{00000000-000D-0000-FFFF-FFFF00000000}"/>
  </bookViews>
  <sheets>
    <sheet name="Tabela Dinamica" sheetId="8" r:id="rId1"/>
    <sheet name="Base de Dados" sheetId="3" r:id="rId2"/>
    <sheet name="DashBoard" sheetId="6" r:id="rId3"/>
  </sheets>
  <externalReferences>
    <externalReference r:id="rId4"/>
  </externalReferences>
  <definedNames>
    <definedName name="_xlnm._FilterDatabase" localSheetId="1" hidden="1">'Base de Dados'!$A$1:$O$1001</definedName>
    <definedName name="Lista_clientes">[1]!Clientes[NOME]</definedName>
    <definedName name="Lista_cod_rastreio">[1]!Entregas[ID (NÚMERO + DATA + CEP)]</definedName>
    <definedName name="Lista_entregadores">[1]!Entregadores[NOME]</definedName>
    <definedName name="SegmentaçãodeDados_area">#N/A</definedName>
  </definedNames>
  <calcPr calcId="191029"/>
  <pivotCaches>
    <pivotCache cacheId="182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2" i="3" l="1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58" i="3"/>
  <c r="Q59" i="3"/>
  <c r="Q60" i="3"/>
  <c r="Q61" i="3"/>
  <c r="Q62" i="3"/>
  <c r="Q63" i="3"/>
  <c r="Q64" i="3"/>
  <c r="Q65" i="3"/>
  <c r="Q66" i="3"/>
  <c r="Q67" i="3"/>
  <c r="Q68" i="3"/>
  <c r="Q69" i="3"/>
  <c r="Q70" i="3"/>
  <c r="Q71" i="3"/>
  <c r="Q72" i="3"/>
  <c r="Q73" i="3"/>
  <c r="Q74" i="3"/>
  <c r="Q75" i="3"/>
  <c r="Q76" i="3"/>
  <c r="Q77" i="3"/>
  <c r="Q78" i="3"/>
  <c r="Q79" i="3"/>
  <c r="Q80" i="3"/>
  <c r="Q81" i="3"/>
  <c r="Q82" i="3"/>
  <c r="Q83" i="3"/>
  <c r="Q84" i="3"/>
  <c r="Q85" i="3"/>
  <c r="Q86" i="3"/>
  <c r="Q87" i="3"/>
  <c r="Q88" i="3"/>
  <c r="Q89" i="3"/>
  <c r="Q90" i="3"/>
  <c r="Q91" i="3"/>
  <c r="Q92" i="3"/>
  <c r="Q93" i="3"/>
  <c r="Q94" i="3"/>
  <c r="Q95" i="3"/>
  <c r="Q96" i="3"/>
  <c r="Q97" i="3"/>
  <c r="Q98" i="3"/>
  <c r="Q99" i="3"/>
  <c r="Q100" i="3"/>
  <c r="Q101" i="3"/>
  <c r="Q102" i="3"/>
  <c r="Q103" i="3"/>
  <c r="Q104" i="3"/>
  <c r="Q105" i="3"/>
  <c r="Q106" i="3"/>
  <c r="Q107" i="3"/>
  <c r="Q108" i="3"/>
  <c r="Q109" i="3"/>
  <c r="Q110" i="3"/>
  <c r="Q111" i="3"/>
  <c r="Q112" i="3"/>
  <c r="Q113" i="3"/>
  <c r="Q114" i="3"/>
  <c r="Q115" i="3"/>
  <c r="Q116" i="3"/>
  <c r="Q117" i="3"/>
  <c r="Q118" i="3"/>
  <c r="Q119" i="3"/>
  <c r="Q120" i="3"/>
  <c r="Q121" i="3"/>
  <c r="Q122" i="3"/>
  <c r="Q123" i="3"/>
  <c r="Q124" i="3"/>
  <c r="Q125" i="3"/>
  <c r="Q126" i="3"/>
  <c r="Q127" i="3"/>
  <c r="Q128" i="3"/>
  <c r="Q129" i="3"/>
  <c r="Q130" i="3"/>
  <c r="Q131" i="3"/>
  <c r="Q132" i="3"/>
  <c r="Q133" i="3"/>
  <c r="Q134" i="3"/>
  <c r="Q135" i="3"/>
  <c r="Q136" i="3"/>
  <c r="Q137" i="3"/>
  <c r="Q138" i="3"/>
  <c r="Q139" i="3"/>
  <c r="Q140" i="3"/>
  <c r="Q141" i="3"/>
  <c r="Q142" i="3"/>
  <c r="Q143" i="3"/>
  <c r="Q144" i="3"/>
  <c r="Q145" i="3"/>
  <c r="Q146" i="3"/>
  <c r="Q147" i="3"/>
  <c r="Q148" i="3"/>
  <c r="Q149" i="3"/>
  <c r="Q150" i="3"/>
  <c r="Q151" i="3"/>
  <c r="Q152" i="3"/>
  <c r="Q153" i="3"/>
  <c r="Q154" i="3"/>
  <c r="Q155" i="3"/>
  <c r="Q156" i="3"/>
  <c r="Q157" i="3"/>
  <c r="Q158" i="3"/>
  <c r="Q159" i="3"/>
  <c r="Q160" i="3"/>
  <c r="Q161" i="3"/>
  <c r="Q162" i="3"/>
  <c r="Q163" i="3"/>
  <c r="Q164" i="3"/>
  <c r="Q165" i="3"/>
  <c r="Q166" i="3"/>
  <c r="Q167" i="3"/>
  <c r="Q168" i="3"/>
  <c r="Q169" i="3"/>
  <c r="Q170" i="3"/>
  <c r="Q171" i="3"/>
  <c r="Q172" i="3"/>
  <c r="Q173" i="3"/>
  <c r="Q174" i="3"/>
  <c r="Q175" i="3"/>
  <c r="Q176" i="3"/>
  <c r="Q177" i="3"/>
  <c r="Q178" i="3"/>
  <c r="Q179" i="3"/>
  <c r="Q180" i="3"/>
  <c r="Q181" i="3"/>
  <c r="Q182" i="3"/>
  <c r="Q183" i="3"/>
  <c r="Q184" i="3"/>
  <c r="Q185" i="3"/>
  <c r="Q186" i="3"/>
  <c r="Q187" i="3"/>
  <c r="Q188" i="3"/>
  <c r="Q189" i="3"/>
  <c r="Q190" i="3"/>
  <c r="Q191" i="3"/>
  <c r="Q192" i="3"/>
  <c r="Q193" i="3"/>
  <c r="Q194" i="3"/>
  <c r="Q195" i="3"/>
  <c r="Q196" i="3"/>
  <c r="Q197" i="3"/>
  <c r="Q198" i="3"/>
  <c r="Q199" i="3"/>
  <c r="Q200" i="3"/>
  <c r="Q201" i="3"/>
  <c r="Q202" i="3"/>
  <c r="Q203" i="3"/>
  <c r="Q204" i="3"/>
  <c r="Q205" i="3"/>
  <c r="Q206" i="3"/>
  <c r="Q207" i="3"/>
  <c r="Q208" i="3"/>
  <c r="Q209" i="3"/>
  <c r="Q210" i="3"/>
  <c r="Q211" i="3"/>
  <c r="Q212" i="3"/>
  <c r="Q213" i="3"/>
  <c r="Q214" i="3"/>
  <c r="Q215" i="3"/>
  <c r="Q216" i="3"/>
  <c r="Q217" i="3"/>
  <c r="Q218" i="3"/>
  <c r="Q219" i="3"/>
  <c r="Q220" i="3"/>
  <c r="Q221" i="3"/>
  <c r="Q222" i="3"/>
  <c r="Q223" i="3"/>
  <c r="Q224" i="3"/>
  <c r="Q225" i="3"/>
  <c r="Q226" i="3"/>
  <c r="Q227" i="3"/>
  <c r="Q228" i="3"/>
  <c r="Q229" i="3"/>
  <c r="Q230" i="3"/>
  <c r="Q231" i="3"/>
  <c r="Q232" i="3"/>
  <c r="Q233" i="3"/>
  <c r="Q234" i="3"/>
  <c r="Q235" i="3"/>
  <c r="Q236" i="3"/>
  <c r="Q237" i="3"/>
  <c r="Q238" i="3"/>
  <c r="Q239" i="3"/>
  <c r="Q240" i="3"/>
  <c r="Q241" i="3"/>
  <c r="Q242" i="3"/>
  <c r="Q243" i="3"/>
  <c r="Q244" i="3"/>
  <c r="Q245" i="3"/>
  <c r="Q246" i="3"/>
  <c r="Q247" i="3"/>
  <c r="Q248" i="3"/>
  <c r="Q249" i="3"/>
  <c r="Q250" i="3"/>
  <c r="Q251" i="3"/>
  <c r="Q252" i="3"/>
  <c r="Q253" i="3"/>
  <c r="Q254" i="3"/>
  <c r="Q255" i="3"/>
  <c r="Q256" i="3"/>
  <c r="Q257" i="3"/>
  <c r="Q258" i="3"/>
  <c r="Q259" i="3"/>
  <c r="Q260" i="3"/>
  <c r="Q261" i="3"/>
  <c r="Q262" i="3"/>
  <c r="Q263" i="3"/>
  <c r="Q264" i="3"/>
  <c r="Q265" i="3"/>
  <c r="Q266" i="3"/>
  <c r="Q267" i="3"/>
  <c r="Q268" i="3"/>
  <c r="Q269" i="3"/>
  <c r="Q270" i="3"/>
  <c r="Q271" i="3"/>
  <c r="Q272" i="3"/>
  <c r="Q273" i="3"/>
  <c r="Q274" i="3"/>
  <c r="Q275" i="3"/>
  <c r="Q276" i="3"/>
  <c r="Q277" i="3"/>
  <c r="Q278" i="3"/>
  <c r="Q279" i="3"/>
  <c r="Q280" i="3"/>
  <c r="Q281" i="3"/>
  <c r="Q282" i="3"/>
  <c r="Q283" i="3"/>
  <c r="Q284" i="3"/>
  <c r="Q285" i="3"/>
  <c r="Q286" i="3"/>
  <c r="Q287" i="3"/>
  <c r="Q288" i="3"/>
  <c r="Q289" i="3"/>
  <c r="Q290" i="3"/>
  <c r="Q291" i="3"/>
  <c r="Q292" i="3"/>
  <c r="Q293" i="3"/>
  <c r="Q294" i="3"/>
  <c r="Q295" i="3"/>
  <c r="Q296" i="3"/>
  <c r="Q297" i="3"/>
  <c r="Q298" i="3"/>
  <c r="Q299" i="3"/>
  <c r="Q300" i="3"/>
  <c r="Q301" i="3"/>
  <c r="Q302" i="3"/>
  <c r="Q303" i="3"/>
  <c r="Q304" i="3"/>
  <c r="Q305" i="3"/>
  <c r="Q306" i="3"/>
  <c r="Q307" i="3"/>
  <c r="Q308" i="3"/>
  <c r="Q309" i="3"/>
  <c r="Q310" i="3"/>
  <c r="Q311" i="3"/>
  <c r="Q312" i="3"/>
  <c r="Q313" i="3"/>
  <c r="Q314" i="3"/>
  <c r="Q315" i="3"/>
  <c r="Q316" i="3"/>
  <c r="Q317" i="3"/>
  <c r="Q318" i="3"/>
  <c r="Q319" i="3"/>
  <c r="Q320" i="3"/>
  <c r="Q321" i="3"/>
  <c r="Q322" i="3"/>
  <c r="Q323" i="3"/>
  <c r="Q324" i="3"/>
  <c r="Q325" i="3"/>
  <c r="Q326" i="3"/>
  <c r="Q327" i="3"/>
  <c r="Q328" i="3"/>
  <c r="Q329" i="3"/>
  <c r="Q330" i="3"/>
  <c r="Q331" i="3"/>
  <c r="Q332" i="3"/>
  <c r="Q333" i="3"/>
  <c r="Q334" i="3"/>
  <c r="Q335" i="3"/>
  <c r="Q336" i="3"/>
  <c r="Q337" i="3"/>
  <c r="Q338" i="3"/>
  <c r="Q339" i="3"/>
  <c r="Q340" i="3"/>
  <c r="Q341" i="3"/>
  <c r="Q342" i="3"/>
  <c r="Q343" i="3"/>
  <c r="Q344" i="3"/>
  <c r="Q345" i="3"/>
  <c r="Q346" i="3"/>
  <c r="Q347" i="3"/>
  <c r="Q348" i="3"/>
  <c r="Q349" i="3"/>
  <c r="Q350" i="3"/>
  <c r="Q351" i="3"/>
  <c r="Q352" i="3"/>
  <c r="Q353" i="3"/>
  <c r="Q354" i="3"/>
  <c r="Q355" i="3"/>
  <c r="Q356" i="3"/>
  <c r="Q357" i="3"/>
  <c r="Q358" i="3"/>
  <c r="Q359" i="3"/>
  <c r="Q360" i="3"/>
  <c r="Q361" i="3"/>
  <c r="Q362" i="3"/>
  <c r="Q363" i="3"/>
  <c r="Q364" i="3"/>
  <c r="Q365" i="3"/>
  <c r="Q366" i="3"/>
  <c r="Q367" i="3"/>
  <c r="Q368" i="3"/>
  <c r="Q369" i="3"/>
  <c r="Q370" i="3"/>
  <c r="Q371" i="3"/>
  <c r="Q372" i="3"/>
  <c r="Q373" i="3"/>
  <c r="Q374" i="3"/>
  <c r="Q375" i="3"/>
  <c r="Q376" i="3"/>
  <c r="Q377" i="3"/>
  <c r="Q378" i="3"/>
  <c r="Q379" i="3"/>
  <c r="Q380" i="3"/>
  <c r="Q381" i="3"/>
  <c r="Q382" i="3"/>
  <c r="Q383" i="3"/>
  <c r="Q384" i="3"/>
  <c r="Q385" i="3"/>
  <c r="Q386" i="3"/>
  <c r="Q387" i="3"/>
  <c r="Q388" i="3"/>
  <c r="Q389" i="3"/>
  <c r="Q390" i="3"/>
  <c r="Q391" i="3"/>
  <c r="Q392" i="3"/>
  <c r="Q393" i="3"/>
  <c r="Q394" i="3"/>
  <c r="Q395" i="3"/>
  <c r="Q396" i="3"/>
  <c r="Q397" i="3"/>
  <c r="Q398" i="3"/>
  <c r="Q399" i="3"/>
  <c r="Q400" i="3"/>
  <c r="Q401" i="3"/>
  <c r="Q402" i="3"/>
  <c r="Q403" i="3"/>
  <c r="Q404" i="3"/>
  <c r="Q405" i="3"/>
  <c r="Q406" i="3"/>
  <c r="Q407" i="3"/>
  <c r="Q408" i="3"/>
  <c r="Q409" i="3"/>
  <c r="Q410" i="3"/>
  <c r="Q411" i="3"/>
  <c r="Q412" i="3"/>
  <c r="Q413" i="3"/>
  <c r="Q414" i="3"/>
  <c r="Q415" i="3"/>
  <c r="Q416" i="3"/>
  <c r="Q417" i="3"/>
  <c r="Q418" i="3"/>
  <c r="Q419" i="3"/>
  <c r="Q420" i="3"/>
  <c r="Q421" i="3"/>
  <c r="Q422" i="3"/>
  <c r="Q423" i="3"/>
  <c r="Q424" i="3"/>
  <c r="Q425" i="3"/>
  <c r="Q426" i="3"/>
  <c r="Q427" i="3"/>
  <c r="Q428" i="3"/>
  <c r="Q429" i="3"/>
  <c r="Q430" i="3"/>
  <c r="Q431" i="3"/>
  <c r="Q432" i="3"/>
  <c r="Q433" i="3"/>
  <c r="Q434" i="3"/>
  <c r="Q435" i="3"/>
  <c r="Q436" i="3"/>
  <c r="Q437" i="3"/>
  <c r="Q438" i="3"/>
  <c r="Q439" i="3"/>
  <c r="Q440" i="3"/>
  <c r="Q441" i="3"/>
  <c r="Q442" i="3"/>
  <c r="Q443" i="3"/>
  <c r="Q444" i="3"/>
  <c r="Q445" i="3"/>
  <c r="Q446" i="3"/>
  <c r="Q447" i="3"/>
  <c r="Q448" i="3"/>
  <c r="Q449" i="3"/>
  <c r="Q450" i="3"/>
  <c r="Q451" i="3"/>
  <c r="Q452" i="3"/>
  <c r="Q453" i="3"/>
  <c r="Q454" i="3"/>
  <c r="Q455" i="3"/>
  <c r="Q456" i="3"/>
  <c r="Q457" i="3"/>
  <c r="Q458" i="3"/>
  <c r="Q459" i="3"/>
  <c r="Q460" i="3"/>
  <c r="Q461" i="3"/>
  <c r="Q462" i="3"/>
  <c r="Q463" i="3"/>
  <c r="Q464" i="3"/>
  <c r="Q465" i="3"/>
  <c r="Q466" i="3"/>
  <c r="Q467" i="3"/>
  <c r="Q468" i="3"/>
  <c r="Q469" i="3"/>
  <c r="Q470" i="3"/>
  <c r="Q471" i="3"/>
  <c r="Q472" i="3"/>
  <c r="Q473" i="3"/>
  <c r="Q474" i="3"/>
  <c r="Q475" i="3"/>
  <c r="Q476" i="3"/>
  <c r="Q477" i="3"/>
  <c r="Q478" i="3"/>
  <c r="Q479" i="3"/>
  <c r="Q480" i="3"/>
  <c r="Q481" i="3"/>
  <c r="Q482" i="3"/>
  <c r="Q483" i="3"/>
  <c r="Q484" i="3"/>
  <c r="Q485" i="3"/>
  <c r="Q486" i="3"/>
  <c r="Q487" i="3"/>
  <c r="Q488" i="3"/>
  <c r="Q489" i="3"/>
  <c r="Q490" i="3"/>
  <c r="Q491" i="3"/>
  <c r="Q492" i="3"/>
  <c r="Q493" i="3"/>
  <c r="Q494" i="3"/>
  <c r="Q495" i="3"/>
  <c r="Q496" i="3"/>
  <c r="Q497" i="3"/>
  <c r="Q498" i="3"/>
  <c r="Q499" i="3"/>
  <c r="Q500" i="3"/>
  <c r="Q501" i="3"/>
  <c r="Q502" i="3"/>
  <c r="Q503" i="3"/>
  <c r="Q504" i="3"/>
  <c r="Q505" i="3"/>
  <c r="Q506" i="3"/>
  <c r="Q507" i="3"/>
  <c r="Q508" i="3"/>
  <c r="Q509" i="3"/>
  <c r="Q510" i="3"/>
  <c r="Q511" i="3"/>
  <c r="Q512" i="3"/>
  <c r="Q513" i="3"/>
  <c r="Q514" i="3"/>
  <c r="Q515" i="3"/>
  <c r="Q516" i="3"/>
  <c r="Q517" i="3"/>
  <c r="Q518" i="3"/>
  <c r="Q519" i="3"/>
  <c r="Q520" i="3"/>
  <c r="Q521" i="3"/>
  <c r="Q522" i="3"/>
  <c r="Q523" i="3"/>
  <c r="Q524" i="3"/>
  <c r="Q525" i="3"/>
  <c r="Q526" i="3"/>
  <c r="Q527" i="3"/>
  <c r="Q528" i="3"/>
  <c r="Q529" i="3"/>
  <c r="Q530" i="3"/>
  <c r="Q531" i="3"/>
  <c r="Q532" i="3"/>
  <c r="Q533" i="3"/>
  <c r="Q534" i="3"/>
  <c r="Q535" i="3"/>
  <c r="Q536" i="3"/>
  <c r="Q537" i="3"/>
  <c r="Q538" i="3"/>
  <c r="Q539" i="3"/>
  <c r="Q540" i="3"/>
  <c r="Q541" i="3"/>
  <c r="Q542" i="3"/>
  <c r="Q543" i="3"/>
  <c r="Q544" i="3"/>
  <c r="Q545" i="3"/>
  <c r="Q546" i="3"/>
  <c r="Q547" i="3"/>
  <c r="Q548" i="3"/>
  <c r="Q549" i="3"/>
  <c r="Q550" i="3"/>
  <c r="Q551" i="3"/>
  <c r="Q552" i="3"/>
  <c r="Q553" i="3"/>
  <c r="Q554" i="3"/>
  <c r="Q555" i="3"/>
  <c r="Q556" i="3"/>
  <c r="Q557" i="3"/>
  <c r="Q558" i="3"/>
  <c r="Q559" i="3"/>
  <c r="Q560" i="3"/>
  <c r="Q561" i="3"/>
  <c r="Q562" i="3"/>
  <c r="Q563" i="3"/>
  <c r="Q564" i="3"/>
  <c r="Q565" i="3"/>
  <c r="Q566" i="3"/>
  <c r="Q567" i="3"/>
  <c r="Q568" i="3"/>
  <c r="Q569" i="3"/>
  <c r="Q570" i="3"/>
  <c r="Q571" i="3"/>
  <c r="Q572" i="3"/>
  <c r="Q573" i="3"/>
  <c r="Q574" i="3"/>
  <c r="Q575" i="3"/>
  <c r="Q576" i="3"/>
  <c r="Q577" i="3"/>
  <c r="Q578" i="3"/>
  <c r="Q579" i="3"/>
  <c r="Q580" i="3"/>
  <c r="Q581" i="3"/>
  <c r="Q582" i="3"/>
  <c r="Q583" i="3"/>
  <c r="Q584" i="3"/>
  <c r="Q585" i="3"/>
  <c r="Q586" i="3"/>
  <c r="Q587" i="3"/>
  <c r="Q588" i="3"/>
  <c r="Q589" i="3"/>
  <c r="Q590" i="3"/>
  <c r="Q591" i="3"/>
  <c r="Q592" i="3"/>
  <c r="Q593" i="3"/>
  <c r="Q594" i="3"/>
  <c r="Q595" i="3"/>
  <c r="Q596" i="3"/>
  <c r="Q597" i="3"/>
  <c r="Q598" i="3"/>
  <c r="Q599" i="3"/>
  <c r="Q600" i="3"/>
  <c r="Q601" i="3"/>
  <c r="Q602" i="3"/>
  <c r="Q603" i="3"/>
  <c r="Q604" i="3"/>
  <c r="Q605" i="3"/>
  <c r="Q606" i="3"/>
  <c r="Q607" i="3"/>
  <c r="Q608" i="3"/>
  <c r="Q609" i="3"/>
  <c r="Q610" i="3"/>
  <c r="Q611" i="3"/>
  <c r="Q612" i="3"/>
  <c r="Q613" i="3"/>
  <c r="Q614" i="3"/>
  <c r="Q615" i="3"/>
  <c r="Q616" i="3"/>
  <c r="Q617" i="3"/>
  <c r="Q618" i="3"/>
  <c r="Q619" i="3"/>
  <c r="Q620" i="3"/>
  <c r="Q621" i="3"/>
  <c r="Q622" i="3"/>
  <c r="Q623" i="3"/>
  <c r="Q624" i="3"/>
  <c r="Q625" i="3"/>
  <c r="Q626" i="3"/>
  <c r="Q627" i="3"/>
  <c r="Q628" i="3"/>
  <c r="Q629" i="3"/>
  <c r="Q630" i="3"/>
  <c r="Q631" i="3"/>
  <c r="Q632" i="3"/>
  <c r="Q633" i="3"/>
  <c r="Q634" i="3"/>
  <c r="Q635" i="3"/>
  <c r="Q636" i="3"/>
  <c r="Q637" i="3"/>
  <c r="Q638" i="3"/>
  <c r="Q639" i="3"/>
  <c r="Q640" i="3"/>
  <c r="Q641" i="3"/>
  <c r="Q642" i="3"/>
  <c r="Q643" i="3"/>
  <c r="Q644" i="3"/>
  <c r="Q645" i="3"/>
  <c r="Q646" i="3"/>
  <c r="Q647" i="3"/>
  <c r="Q648" i="3"/>
  <c r="Q649" i="3"/>
  <c r="Q650" i="3"/>
  <c r="Q651" i="3"/>
  <c r="Q652" i="3"/>
  <c r="Q653" i="3"/>
  <c r="Q654" i="3"/>
  <c r="Q655" i="3"/>
  <c r="Q656" i="3"/>
  <c r="Q657" i="3"/>
  <c r="Q658" i="3"/>
  <c r="Q659" i="3"/>
  <c r="Q660" i="3"/>
  <c r="Q661" i="3"/>
  <c r="Q662" i="3"/>
  <c r="Q663" i="3"/>
  <c r="Q664" i="3"/>
  <c r="Q665" i="3"/>
  <c r="Q666" i="3"/>
  <c r="Q667" i="3"/>
  <c r="Q668" i="3"/>
  <c r="Q669" i="3"/>
  <c r="Q670" i="3"/>
  <c r="Q671" i="3"/>
  <c r="Q672" i="3"/>
  <c r="Q673" i="3"/>
  <c r="Q674" i="3"/>
  <c r="Q675" i="3"/>
  <c r="Q676" i="3"/>
  <c r="Q677" i="3"/>
  <c r="Q678" i="3"/>
  <c r="Q679" i="3"/>
  <c r="Q680" i="3"/>
  <c r="Q681" i="3"/>
  <c r="Q682" i="3"/>
  <c r="Q683" i="3"/>
  <c r="Q684" i="3"/>
  <c r="Q685" i="3"/>
  <c r="Q686" i="3"/>
  <c r="Q687" i="3"/>
  <c r="Q688" i="3"/>
  <c r="Q689" i="3"/>
  <c r="Q690" i="3"/>
  <c r="Q691" i="3"/>
  <c r="Q692" i="3"/>
  <c r="Q693" i="3"/>
  <c r="Q694" i="3"/>
  <c r="Q695" i="3"/>
  <c r="Q696" i="3"/>
  <c r="Q697" i="3"/>
  <c r="Q698" i="3"/>
  <c r="Q699" i="3"/>
  <c r="Q700" i="3"/>
  <c r="Q701" i="3"/>
  <c r="Q702" i="3"/>
  <c r="Q703" i="3"/>
  <c r="Q704" i="3"/>
  <c r="Q705" i="3"/>
  <c r="Q706" i="3"/>
  <c r="Q707" i="3"/>
  <c r="Q708" i="3"/>
  <c r="Q709" i="3"/>
  <c r="Q710" i="3"/>
  <c r="Q711" i="3"/>
  <c r="Q712" i="3"/>
  <c r="Q713" i="3"/>
  <c r="Q714" i="3"/>
  <c r="Q715" i="3"/>
  <c r="Q716" i="3"/>
  <c r="Q717" i="3"/>
  <c r="Q718" i="3"/>
  <c r="Q719" i="3"/>
  <c r="Q720" i="3"/>
  <c r="Q721" i="3"/>
  <c r="Q722" i="3"/>
  <c r="Q723" i="3"/>
  <c r="Q724" i="3"/>
  <c r="Q725" i="3"/>
  <c r="Q726" i="3"/>
  <c r="Q727" i="3"/>
  <c r="Q728" i="3"/>
  <c r="Q729" i="3"/>
  <c r="Q730" i="3"/>
  <c r="Q731" i="3"/>
  <c r="Q732" i="3"/>
  <c r="Q733" i="3"/>
  <c r="Q734" i="3"/>
  <c r="Q735" i="3"/>
  <c r="Q736" i="3"/>
  <c r="Q737" i="3"/>
  <c r="Q738" i="3"/>
  <c r="Q739" i="3"/>
  <c r="Q740" i="3"/>
  <c r="Q741" i="3"/>
  <c r="Q742" i="3"/>
  <c r="Q743" i="3"/>
  <c r="Q744" i="3"/>
  <c r="Q745" i="3"/>
  <c r="Q746" i="3"/>
  <c r="Q747" i="3"/>
  <c r="Q748" i="3"/>
  <c r="Q749" i="3"/>
  <c r="Q750" i="3"/>
  <c r="Q751" i="3"/>
  <c r="Q752" i="3"/>
  <c r="Q753" i="3"/>
  <c r="Q754" i="3"/>
  <c r="Q755" i="3"/>
  <c r="Q756" i="3"/>
  <c r="Q757" i="3"/>
  <c r="Q758" i="3"/>
  <c r="Q759" i="3"/>
  <c r="Q760" i="3"/>
  <c r="Q761" i="3"/>
  <c r="Q762" i="3"/>
  <c r="Q763" i="3"/>
  <c r="Q764" i="3"/>
  <c r="Q765" i="3"/>
  <c r="Q766" i="3"/>
  <c r="Q767" i="3"/>
  <c r="Q768" i="3"/>
  <c r="Q769" i="3"/>
  <c r="Q770" i="3"/>
  <c r="Q771" i="3"/>
  <c r="Q772" i="3"/>
  <c r="Q773" i="3"/>
  <c r="Q774" i="3"/>
  <c r="Q775" i="3"/>
  <c r="Q776" i="3"/>
  <c r="Q777" i="3"/>
  <c r="Q778" i="3"/>
  <c r="Q779" i="3"/>
  <c r="Q780" i="3"/>
  <c r="Q781" i="3"/>
  <c r="Q782" i="3"/>
  <c r="Q783" i="3"/>
  <c r="Q784" i="3"/>
  <c r="Q785" i="3"/>
  <c r="Q786" i="3"/>
  <c r="Q787" i="3"/>
  <c r="Q788" i="3"/>
  <c r="Q789" i="3"/>
  <c r="Q790" i="3"/>
  <c r="Q791" i="3"/>
  <c r="Q792" i="3"/>
  <c r="Q793" i="3"/>
  <c r="Q794" i="3"/>
  <c r="Q795" i="3"/>
  <c r="Q796" i="3"/>
  <c r="Q797" i="3"/>
  <c r="Q798" i="3"/>
  <c r="Q799" i="3"/>
  <c r="Q800" i="3"/>
  <c r="Q801" i="3"/>
  <c r="Q802" i="3"/>
  <c r="Q803" i="3"/>
  <c r="Q804" i="3"/>
  <c r="Q805" i="3"/>
  <c r="Q806" i="3"/>
  <c r="Q807" i="3"/>
  <c r="Q808" i="3"/>
  <c r="Q809" i="3"/>
  <c r="Q810" i="3"/>
  <c r="Q811" i="3"/>
  <c r="Q812" i="3"/>
  <c r="Q813" i="3"/>
  <c r="Q814" i="3"/>
  <c r="Q815" i="3"/>
  <c r="Q816" i="3"/>
  <c r="Q817" i="3"/>
  <c r="Q818" i="3"/>
  <c r="Q819" i="3"/>
  <c r="Q820" i="3"/>
  <c r="Q821" i="3"/>
  <c r="Q822" i="3"/>
  <c r="Q823" i="3"/>
  <c r="Q824" i="3"/>
  <c r="Q825" i="3"/>
  <c r="Q826" i="3"/>
  <c r="Q827" i="3"/>
  <c r="Q828" i="3"/>
  <c r="Q829" i="3"/>
  <c r="Q830" i="3"/>
  <c r="Q831" i="3"/>
  <c r="Q832" i="3"/>
  <c r="Q833" i="3"/>
  <c r="Q834" i="3"/>
  <c r="Q835" i="3"/>
  <c r="Q836" i="3"/>
  <c r="Q837" i="3"/>
  <c r="Q838" i="3"/>
  <c r="Q839" i="3"/>
  <c r="Q840" i="3"/>
  <c r="Q841" i="3"/>
  <c r="Q842" i="3"/>
  <c r="Q843" i="3"/>
  <c r="Q844" i="3"/>
  <c r="Q845" i="3"/>
  <c r="Q846" i="3"/>
  <c r="Q847" i="3"/>
  <c r="Q848" i="3"/>
  <c r="Q849" i="3"/>
  <c r="Q850" i="3"/>
  <c r="Q851" i="3"/>
  <c r="Q852" i="3"/>
  <c r="Q853" i="3"/>
  <c r="Q854" i="3"/>
  <c r="Q855" i="3"/>
  <c r="Q856" i="3"/>
  <c r="Q857" i="3"/>
  <c r="Q858" i="3"/>
  <c r="Q859" i="3"/>
  <c r="Q860" i="3"/>
  <c r="Q861" i="3"/>
  <c r="Q862" i="3"/>
  <c r="Q863" i="3"/>
  <c r="Q864" i="3"/>
  <c r="Q865" i="3"/>
  <c r="Q866" i="3"/>
  <c r="Q867" i="3"/>
  <c r="Q868" i="3"/>
  <c r="Q869" i="3"/>
  <c r="Q870" i="3"/>
  <c r="Q871" i="3"/>
  <c r="Q872" i="3"/>
  <c r="Q873" i="3"/>
  <c r="Q874" i="3"/>
  <c r="Q875" i="3"/>
  <c r="Q876" i="3"/>
  <c r="Q877" i="3"/>
  <c r="Q878" i="3"/>
  <c r="Q879" i="3"/>
  <c r="Q880" i="3"/>
  <c r="Q881" i="3"/>
  <c r="Q882" i="3"/>
  <c r="Q883" i="3"/>
  <c r="Q884" i="3"/>
  <c r="Q885" i="3"/>
  <c r="Q886" i="3"/>
  <c r="Q887" i="3"/>
  <c r="Q888" i="3"/>
  <c r="Q889" i="3"/>
  <c r="Q890" i="3"/>
  <c r="Q891" i="3"/>
  <c r="Q892" i="3"/>
  <c r="Q893" i="3"/>
  <c r="Q894" i="3"/>
  <c r="Q895" i="3"/>
  <c r="Q896" i="3"/>
  <c r="Q897" i="3"/>
  <c r="Q898" i="3"/>
  <c r="Q899" i="3"/>
  <c r="Q900" i="3"/>
  <c r="Q901" i="3"/>
  <c r="Q902" i="3"/>
  <c r="Q903" i="3"/>
  <c r="Q904" i="3"/>
  <c r="Q905" i="3"/>
  <c r="Q906" i="3"/>
  <c r="Q907" i="3"/>
  <c r="Q908" i="3"/>
  <c r="Q909" i="3"/>
  <c r="Q910" i="3"/>
  <c r="Q911" i="3"/>
  <c r="Q912" i="3"/>
  <c r="Q913" i="3"/>
  <c r="Q914" i="3"/>
  <c r="Q915" i="3"/>
  <c r="Q916" i="3"/>
  <c r="Q917" i="3"/>
  <c r="Q918" i="3"/>
  <c r="Q919" i="3"/>
  <c r="Q920" i="3"/>
  <c r="Q921" i="3"/>
  <c r="Q922" i="3"/>
  <c r="Q923" i="3"/>
  <c r="Q924" i="3"/>
  <c r="Q925" i="3"/>
  <c r="Q926" i="3"/>
  <c r="Q927" i="3"/>
  <c r="Q928" i="3"/>
  <c r="Q929" i="3"/>
  <c r="Q930" i="3"/>
  <c r="Q931" i="3"/>
  <c r="Q932" i="3"/>
  <c r="Q933" i="3"/>
  <c r="Q934" i="3"/>
  <c r="Q935" i="3"/>
  <c r="Q936" i="3"/>
  <c r="Q937" i="3"/>
  <c r="Q938" i="3"/>
  <c r="Q939" i="3"/>
  <c r="Q940" i="3"/>
  <c r="Q941" i="3"/>
  <c r="Q942" i="3"/>
  <c r="Q943" i="3"/>
  <c r="Q944" i="3"/>
  <c r="Q945" i="3"/>
  <c r="Q946" i="3"/>
  <c r="Q947" i="3"/>
  <c r="Q948" i="3"/>
  <c r="Q949" i="3"/>
  <c r="Q950" i="3"/>
  <c r="Q951" i="3"/>
  <c r="Q952" i="3"/>
  <c r="Q953" i="3"/>
  <c r="Q954" i="3"/>
  <c r="Q955" i="3"/>
  <c r="Q956" i="3"/>
  <c r="Q957" i="3"/>
  <c r="Q958" i="3"/>
  <c r="Q959" i="3"/>
  <c r="Q960" i="3"/>
  <c r="Q961" i="3"/>
  <c r="Q962" i="3"/>
  <c r="Q963" i="3"/>
  <c r="Q964" i="3"/>
  <c r="Q965" i="3"/>
  <c r="Q966" i="3"/>
  <c r="Q967" i="3"/>
  <c r="Q968" i="3"/>
  <c r="Q969" i="3"/>
  <c r="Q970" i="3"/>
  <c r="Q971" i="3"/>
  <c r="Q972" i="3"/>
  <c r="Q973" i="3"/>
  <c r="Q974" i="3"/>
  <c r="Q975" i="3"/>
  <c r="Q976" i="3"/>
  <c r="Q977" i="3"/>
  <c r="Q978" i="3"/>
  <c r="Q979" i="3"/>
  <c r="Q980" i="3"/>
  <c r="Q981" i="3"/>
  <c r="Q982" i="3"/>
  <c r="Q983" i="3"/>
  <c r="Q984" i="3"/>
  <c r="Q985" i="3"/>
  <c r="Q986" i="3"/>
  <c r="Q987" i="3"/>
  <c r="Q988" i="3"/>
  <c r="Q989" i="3"/>
  <c r="Q990" i="3"/>
  <c r="Q991" i="3"/>
  <c r="Q992" i="3"/>
  <c r="Q993" i="3"/>
  <c r="Q994" i="3"/>
  <c r="Q995" i="3"/>
  <c r="Q996" i="3"/>
  <c r="Q997" i="3"/>
  <c r="Q998" i="3"/>
  <c r="Q999" i="3"/>
  <c r="Q1000" i="3"/>
  <c r="Q1001" i="3"/>
  <c r="P2" i="3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P99" i="3"/>
  <c r="P100" i="3"/>
  <c r="P101" i="3"/>
  <c r="P102" i="3"/>
  <c r="P103" i="3"/>
  <c r="P104" i="3"/>
  <c r="P105" i="3"/>
  <c r="P106" i="3"/>
  <c r="P107" i="3"/>
  <c r="P108" i="3"/>
  <c r="P109" i="3"/>
  <c r="P110" i="3"/>
  <c r="P111" i="3"/>
  <c r="P112" i="3"/>
  <c r="P113" i="3"/>
  <c r="P114" i="3"/>
  <c r="P115" i="3"/>
  <c r="P116" i="3"/>
  <c r="P117" i="3"/>
  <c r="P118" i="3"/>
  <c r="P119" i="3"/>
  <c r="P120" i="3"/>
  <c r="P121" i="3"/>
  <c r="P122" i="3"/>
  <c r="P123" i="3"/>
  <c r="P124" i="3"/>
  <c r="P125" i="3"/>
  <c r="P126" i="3"/>
  <c r="P127" i="3"/>
  <c r="P128" i="3"/>
  <c r="P129" i="3"/>
  <c r="P130" i="3"/>
  <c r="P131" i="3"/>
  <c r="P132" i="3"/>
  <c r="P133" i="3"/>
  <c r="P134" i="3"/>
  <c r="P135" i="3"/>
  <c r="P136" i="3"/>
  <c r="P137" i="3"/>
  <c r="P138" i="3"/>
  <c r="P139" i="3"/>
  <c r="P140" i="3"/>
  <c r="P141" i="3"/>
  <c r="P142" i="3"/>
  <c r="P143" i="3"/>
  <c r="P144" i="3"/>
  <c r="P145" i="3"/>
  <c r="P146" i="3"/>
  <c r="P147" i="3"/>
  <c r="P148" i="3"/>
  <c r="P149" i="3"/>
  <c r="P150" i="3"/>
  <c r="P151" i="3"/>
  <c r="P152" i="3"/>
  <c r="P153" i="3"/>
  <c r="P154" i="3"/>
  <c r="P155" i="3"/>
  <c r="P156" i="3"/>
  <c r="P157" i="3"/>
  <c r="P158" i="3"/>
  <c r="P159" i="3"/>
  <c r="P160" i="3"/>
  <c r="P161" i="3"/>
  <c r="P162" i="3"/>
  <c r="P163" i="3"/>
  <c r="P164" i="3"/>
  <c r="P165" i="3"/>
  <c r="P166" i="3"/>
  <c r="P167" i="3"/>
  <c r="P168" i="3"/>
  <c r="P169" i="3"/>
  <c r="P170" i="3"/>
  <c r="P171" i="3"/>
  <c r="P172" i="3"/>
  <c r="P173" i="3"/>
  <c r="P174" i="3"/>
  <c r="P175" i="3"/>
  <c r="P176" i="3"/>
  <c r="P177" i="3"/>
  <c r="P178" i="3"/>
  <c r="P179" i="3"/>
  <c r="P180" i="3"/>
  <c r="P181" i="3"/>
  <c r="P182" i="3"/>
  <c r="P183" i="3"/>
  <c r="P184" i="3"/>
  <c r="P185" i="3"/>
  <c r="P186" i="3"/>
  <c r="P187" i="3"/>
  <c r="P188" i="3"/>
  <c r="P189" i="3"/>
  <c r="P190" i="3"/>
  <c r="P191" i="3"/>
  <c r="P192" i="3"/>
  <c r="P193" i="3"/>
  <c r="P194" i="3"/>
  <c r="P195" i="3"/>
  <c r="P196" i="3"/>
  <c r="P197" i="3"/>
  <c r="P198" i="3"/>
  <c r="P199" i="3"/>
  <c r="P200" i="3"/>
  <c r="P201" i="3"/>
  <c r="P202" i="3"/>
  <c r="P203" i="3"/>
  <c r="P204" i="3"/>
  <c r="P205" i="3"/>
  <c r="P206" i="3"/>
  <c r="P207" i="3"/>
  <c r="P208" i="3"/>
  <c r="P209" i="3"/>
  <c r="P210" i="3"/>
  <c r="P211" i="3"/>
  <c r="P212" i="3"/>
  <c r="P213" i="3"/>
  <c r="P214" i="3"/>
  <c r="P215" i="3"/>
  <c r="P216" i="3"/>
  <c r="P217" i="3"/>
  <c r="P218" i="3"/>
  <c r="P219" i="3"/>
  <c r="P220" i="3"/>
  <c r="P221" i="3"/>
  <c r="P222" i="3"/>
  <c r="P223" i="3"/>
  <c r="P224" i="3"/>
  <c r="P225" i="3"/>
  <c r="P226" i="3"/>
  <c r="P227" i="3"/>
  <c r="P228" i="3"/>
  <c r="P229" i="3"/>
  <c r="P230" i="3"/>
  <c r="P231" i="3"/>
  <c r="P232" i="3"/>
  <c r="P233" i="3"/>
  <c r="P234" i="3"/>
  <c r="P235" i="3"/>
  <c r="P236" i="3"/>
  <c r="P237" i="3"/>
  <c r="P238" i="3"/>
  <c r="P239" i="3"/>
  <c r="P240" i="3"/>
  <c r="P241" i="3"/>
  <c r="P242" i="3"/>
  <c r="P243" i="3"/>
  <c r="P244" i="3"/>
  <c r="P245" i="3"/>
  <c r="P246" i="3"/>
  <c r="P247" i="3"/>
  <c r="P248" i="3"/>
  <c r="P249" i="3"/>
  <c r="P250" i="3"/>
  <c r="P251" i="3"/>
  <c r="P252" i="3"/>
  <c r="P253" i="3"/>
  <c r="P254" i="3"/>
  <c r="P255" i="3"/>
  <c r="P256" i="3"/>
  <c r="P257" i="3"/>
  <c r="P258" i="3"/>
  <c r="P259" i="3"/>
  <c r="P260" i="3"/>
  <c r="P261" i="3"/>
  <c r="P262" i="3"/>
  <c r="P263" i="3"/>
  <c r="P264" i="3"/>
  <c r="P265" i="3"/>
  <c r="P266" i="3"/>
  <c r="P267" i="3"/>
  <c r="P268" i="3"/>
  <c r="P269" i="3"/>
  <c r="P270" i="3"/>
  <c r="P271" i="3"/>
  <c r="P272" i="3"/>
  <c r="P273" i="3"/>
  <c r="P274" i="3"/>
  <c r="P275" i="3"/>
  <c r="P276" i="3"/>
  <c r="P277" i="3"/>
  <c r="P278" i="3"/>
  <c r="P279" i="3"/>
  <c r="P280" i="3"/>
  <c r="P281" i="3"/>
  <c r="P282" i="3"/>
  <c r="P283" i="3"/>
  <c r="P284" i="3"/>
  <c r="P285" i="3"/>
  <c r="P286" i="3"/>
  <c r="P287" i="3"/>
  <c r="P288" i="3"/>
  <c r="P289" i="3"/>
  <c r="P290" i="3"/>
  <c r="P291" i="3"/>
  <c r="P292" i="3"/>
  <c r="P293" i="3"/>
  <c r="P294" i="3"/>
  <c r="P295" i="3"/>
  <c r="P296" i="3"/>
  <c r="P297" i="3"/>
  <c r="P298" i="3"/>
  <c r="P299" i="3"/>
  <c r="P300" i="3"/>
  <c r="P301" i="3"/>
  <c r="P302" i="3"/>
  <c r="P303" i="3"/>
  <c r="P304" i="3"/>
  <c r="P305" i="3"/>
  <c r="P306" i="3"/>
  <c r="P307" i="3"/>
  <c r="P308" i="3"/>
  <c r="P309" i="3"/>
  <c r="P310" i="3"/>
  <c r="P311" i="3"/>
  <c r="P312" i="3"/>
  <c r="P313" i="3"/>
  <c r="P314" i="3"/>
  <c r="P315" i="3"/>
  <c r="P316" i="3"/>
  <c r="P317" i="3"/>
  <c r="P318" i="3"/>
  <c r="P319" i="3"/>
  <c r="P320" i="3"/>
  <c r="P321" i="3"/>
  <c r="P322" i="3"/>
  <c r="P323" i="3"/>
  <c r="P324" i="3"/>
  <c r="P325" i="3"/>
  <c r="P326" i="3"/>
  <c r="P327" i="3"/>
  <c r="P328" i="3"/>
  <c r="P329" i="3"/>
  <c r="P330" i="3"/>
  <c r="P331" i="3"/>
  <c r="P332" i="3"/>
  <c r="P333" i="3"/>
  <c r="P334" i="3"/>
  <c r="P335" i="3"/>
  <c r="P336" i="3"/>
  <c r="P337" i="3"/>
  <c r="P338" i="3"/>
  <c r="P339" i="3"/>
  <c r="P340" i="3"/>
  <c r="P341" i="3"/>
  <c r="P342" i="3"/>
  <c r="P343" i="3"/>
  <c r="P344" i="3"/>
  <c r="P345" i="3"/>
  <c r="P346" i="3"/>
  <c r="P347" i="3"/>
  <c r="P348" i="3"/>
  <c r="P349" i="3"/>
  <c r="P350" i="3"/>
  <c r="P351" i="3"/>
  <c r="P352" i="3"/>
  <c r="P353" i="3"/>
  <c r="P354" i="3"/>
  <c r="P355" i="3"/>
  <c r="P356" i="3"/>
  <c r="P357" i="3"/>
  <c r="P358" i="3"/>
  <c r="P359" i="3"/>
  <c r="P360" i="3"/>
  <c r="P361" i="3"/>
  <c r="P362" i="3"/>
  <c r="P363" i="3"/>
  <c r="P364" i="3"/>
  <c r="P365" i="3"/>
  <c r="P366" i="3"/>
  <c r="P367" i="3"/>
  <c r="P368" i="3"/>
  <c r="P369" i="3"/>
  <c r="P370" i="3"/>
  <c r="P371" i="3"/>
  <c r="P372" i="3"/>
  <c r="P373" i="3"/>
  <c r="P374" i="3"/>
  <c r="P375" i="3"/>
  <c r="P376" i="3"/>
  <c r="P377" i="3"/>
  <c r="P378" i="3"/>
  <c r="P379" i="3"/>
  <c r="P380" i="3"/>
  <c r="P381" i="3"/>
  <c r="P382" i="3"/>
  <c r="P383" i="3"/>
  <c r="P384" i="3"/>
  <c r="P385" i="3"/>
  <c r="P386" i="3"/>
  <c r="P387" i="3"/>
  <c r="P388" i="3"/>
  <c r="P389" i="3"/>
  <c r="P390" i="3"/>
  <c r="P391" i="3"/>
  <c r="P392" i="3"/>
  <c r="P393" i="3"/>
  <c r="P394" i="3"/>
  <c r="P395" i="3"/>
  <c r="P396" i="3"/>
  <c r="P397" i="3"/>
  <c r="P398" i="3"/>
  <c r="P399" i="3"/>
  <c r="P400" i="3"/>
  <c r="P401" i="3"/>
  <c r="P402" i="3"/>
  <c r="P403" i="3"/>
  <c r="P404" i="3"/>
  <c r="P405" i="3"/>
  <c r="P406" i="3"/>
  <c r="P407" i="3"/>
  <c r="P408" i="3"/>
  <c r="P409" i="3"/>
  <c r="P410" i="3"/>
  <c r="P411" i="3"/>
  <c r="P412" i="3"/>
  <c r="P413" i="3"/>
  <c r="P414" i="3"/>
  <c r="P415" i="3"/>
  <c r="P416" i="3"/>
  <c r="P417" i="3"/>
  <c r="P418" i="3"/>
  <c r="P419" i="3"/>
  <c r="P420" i="3"/>
  <c r="P421" i="3"/>
  <c r="P422" i="3"/>
  <c r="P423" i="3"/>
  <c r="P424" i="3"/>
  <c r="P425" i="3"/>
  <c r="P426" i="3"/>
  <c r="P427" i="3"/>
  <c r="P428" i="3"/>
  <c r="P429" i="3"/>
  <c r="P430" i="3"/>
  <c r="P431" i="3"/>
  <c r="P432" i="3"/>
  <c r="P433" i="3"/>
  <c r="P434" i="3"/>
  <c r="P435" i="3"/>
  <c r="P436" i="3"/>
  <c r="P437" i="3"/>
  <c r="P438" i="3"/>
  <c r="P439" i="3"/>
  <c r="P440" i="3"/>
  <c r="P441" i="3"/>
  <c r="P442" i="3"/>
  <c r="P443" i="3"/>
  <c r="P444" i="3"/>
  <c r="P445" i="3"/>
  <c r="P446" i="3"/>
  <c r="P447" i="3"/>
  <c r="P448" i="3"/>
  <c r="P449" i="3"/>
  <c r="P450" i="3"/>
  <c r="P451" i="3"/>
  <c r="P452" i="3"/>
  <c r="P453" i="3"/>
  <c r="P454" i="3"/>
  <c r="P455" i="3"/>
  <c r="P456" i="3"/>
  <c r="P457" i="3"/>
  <c r="P458" i="3"/>
  <c r="P459" i="3"/>
  <c r="P460" i="3"/>
  <c r="P461" i="3"/>
  <c r="P462" i="3"/>
  <c r="P463" i="3"/>
  <c r="P464" i="3"/>
  <c r="P465" i="3"/>
  <c r="P466" i="3"/>
  <c r="P467" i="3"/>
  <c r="P468" i="3"/>
  <c r="P469" i="3"/>
  <c r="P470" i="3"/>
  <c r="P471" i="3"/>
  <c r="P472" i="3"/>
  <c r="P473" i="3"/>
  <c r="P474" i="3"/>
  <c r="P475" i="3"/>
  <c r="P476" i="3"/>
  <c r="P477" i="3"/>
  <c r="P478" i="3"/>
  <c r="P479" i="3"/>
  <c r="P480" i="3"/>
  <c r="P481" i="3"/>
  <c r="P482" i="3"/>
  <c r="P483" i="3"/>
  <c r="P484" i="3"/>
  <c r="P485" i="3"/>
  <c r="P486" i="3"/>
  <c r="P487" i="3"/>
  <c r="P488" i="3"/>
  <c r="P489" i="3"/>
  <c r="P490" i="3"/>
  <c r="P491" i="3"/>
  <c r="P492" i="3"/>
  <c r="P493" i="3"/>
  <c r="P494" i="3"/>
  <c r="P495" i="3"/>
  <c r="P496" i="3"/>
  <c r="P497" i="3"/>
  <c r="P498" i="3"/>
  <c r="P499" i="3"/>
  <c r="P500" i="3"/>
  <c r="P501" i="3"/>
  <c r="P502" i="3"/>
  <c r="P503" i="3"/>
  <c r="P504" i="3"/>
  <c r="P505" i="3"/>
  <c r="P506" i="3"/>
  <c r="P507" i="3"/>
  <c r="P508" i="3"/>
  <c r="P509" i="3"/>
  <c r="P510" i="3"/>
  <c r="P511" i="3"/>
  <c r="P512" i="3"/>
  <c r="P513" i="3"/>
  <c r="P514" i="3"/>
  <c r="P515" i="3"/>
  <c r="P516" i="3"/>
  <c r="P517" i="3"/>
  <c r="P518" i="3"/>
  <c r="P519" i="3"/>
  <c r="P520" i="3"/>
  <c r="P521" i="3"/>
  <c r="P522" i="3"/>
  <c r="P523" i="3"/>
  <c r="P524" i="3"/>
  <c r="P525" i="3"/>
  <c r="P526" i="3"/>
  <c r="P527" i="3"/>
  <c r="P528" i="3"/>
  <c r="P529" i="3"/>
  <c r="P530" i="3"/>
  <c r="P531" i="3"/>
  <c r="P532" i="3"/>
  <c r="P533" i="3"/>
  <c r="P534" i="3"/>
  <c r="P535" i="3"/>
  <c r="P536" i="3"/>
  <c r="P537" i="3"/>
  <c r="P538" i="3"/>
  <c r="P539" i="3"/>
  <c r="P540" i="3"/>
  <c r="P541" i="3"/>
  <c r="P542" i="3"/>
  <c r="P543" i="3"/>
  <c r="P544" i="3"/>
  <c r="P545" i="3"/>
  <c r="P546" i="3"/>
  <c r="P547" i="3"/>
  <c r="P548" i="3"/>
  <c r="P549" i="3"/>
  <c r="P550" i="3"/>
  <c r="P551" i="3"/>
  <c r="P552" i="3"/>
  <c r="P553" i="3"/>
  <c r="P554" i="3"/>
  <c r="P555" i="3"/>
  <c r="P556" i="3"/>
  <c r="P557" i="3"/>
  <c r="P558" i="3"/>
  <c r="P559" i="3"/>
  <c r="P560" i="3"/>
  <c r="P561" i="3"/>
  <c r="P562" i="3"/>
  <c r="P563" i="3"/>
  <c r="P564" i="3"/>
  <c r="P565" i="3"/>
  <c r="P566" i="3"/>
  <c r="P567" i="3"/>
  <c r="P568" i="3"/>
  <c r="P569" i="3"/>
  <c r="P570" i="3"/>
  <c r="P571" i="3"/>
  <c r="P572" i="3"/>
  <c r="P573" i="3"/>
  <c r="P574" i="3"/>
  <c r="P575" i="3"/>
  <c r="P576" i="3"/>
  <c r="P577" i="3"/>
  <c r="P578" i="3"/>
  <c r="P579" i="3"/>
  <c r="P580" i="3"/>
  <c r="P581" i="3"/>
  <c r="P582" i="3"/>
  <c r="P583" i="3"/>
  <c r="P584" i="3"/>
  <c r="P585" i="3"/>
  <c r="P586" i="3"/>
  <c r="P587" i="3"/>
  <c r="P588" i="3"/>
  <c r="P589" i="3"/>
  <c r="P590" i="3"/>
  <c r="P591" i="3"/>
  <c r="P592" i="3"/>
  <c r="P593" i="3"/>
  <c r="P594" i="3"/>
  <c r="P595" i="3"/>
  <c r="P596" i="3"/>
  <c r="P597" i="3"/>
  <c r="P598" i="3"/>
  <c r="P599" i="3"/>
  <c r="P600" i="3"/>
  <c r="P601" i="3"/>
  <c r="P602" i="3"/>
  <c r="P603" i="3"/>
  <c r="P604" i="3"/>
  <c r="P605" i="3"/>
  <c r="P606" i="3"/>
  <c r="P607" i="3"/>
  <c r="P608" i="3"/>
  <c r="P609" i="3"/>
  <c r="P610" i="3"/>
  <c r="P611" i="3"/>
  <c r="P612" i="3"/>
  <c r="P613" i="3"/>
  <c r="P614" i="3"/>
  <c r="P615" i="3"/>
  <c r="P616" i="3"/>
  <c r="P617" i="3"/>
  <c r="P618" i="3"/>
  <c r="P619" i="3"/>
  <c r="P620" i="3"/>
  <c r="P621" i="3"/>
  <c r="P622" i="3"/>
  <c r="P623" i="3"/>
  <c r="P624" i="3"/>
  <c r="P625" i="3"/>
  <c r="P626" i="3"/>
  <c r="P627" i="3"/>
  <c r="P628" i="3"/>
  <c r="P629" i="3"/>
  <c r="P630" i="3"/>
  <c r="P631" i="3"/>
  <c r="P632" i="3"/>
  <c r="P633" i="3"/>
  <c r="P634" i="3"/>
  <c r="P635" i="3"/>
  <c r="P636" i="3"/>
  <c r="P637" i="3"/>
  <c r="P638" i="3"/>
  <c r="P639" i="3"/>
  <c r="P640" i="3"/>
  <c r="P641" i="3"/>
  <c r="P642" i="3"/>
  <c r="P643" i="3"/>
  <c r="P644" i="3"/>
  <c r="P645" i="3"/>
  <c r="P646" i="3"/>
  <c r="P647" i="3"/>
  <c r="P648" i="3"/>
  <c r="P649" i="3"/>
  <c r="P650" i="3"/>
  <c r="P651" i="3"/>
  <c r="P652" i="3"/>
  <c r="P653" i="3"/>
  <c r="P654" i="3"/>
  <c r="P655" i="3"/>
  <c r="P656" i="3"/>
  <c r="P657" i="3"/>
  <c r="P658" i="3"/>
  <c r="P659" i="3"/>
  <c r="P660" i="3"/>
  <c r="P661" i="3"/>
  <c r="P662" i="3"/>
  <c r="P663" i="3"/>
  <c r="P664" i="3"/>
  <c r="P665" i="3"/>
  <c r="P666" i="3"/>
  <c r="P667" i="3"/>
  <c r="P668" i="3"/>
  <c r="P669" i="3"/>
  <c r="P670" i="3"/>
  <c r="P671" i="3"/>
  <c r="P672" i="3"/>
  <c r="P673" i="3"/>
  <c r="P674" i="3"/>
  <c r="P675" i="3"/>
  <c r="P676" i="3"/>
  <c r="P677" i="3"/>
  <c r="P678" i="3"/>
  <c r="P679" i="3"/>
  <c r="P680" i="3"/>
  <c r="P681" i="3"/>
  <c r="P682" i="3"/>
  <c r="P683" i="3"/>
  <c r="P684" i="3"/>
  <c r="P685" i="3"/>
  <c r="P686" i="3"/>
  <c r="P687" i="3"/>
  <c r="P688" i="3"/>
  <c r="P689" i="3"/>
  <c r="P690" i="3"/>
  <c r="P691" i="3"/>
  <c r="P692" i="3"/>
  <c r="P693" i="3"/>
  <c r="P694" i="3"/>
  <c r="P695" i="3"/>
  <c r="P696" i="3"/>
  <c r="P697" i="3"/>
  <c r="P698" i="3"/>
  <c r="P699" i="3"/>
  <c r="P700" i="3"/>
  <c r="P701" i="3"/>
  <c r="P702" i="3"/>
  <c r="P703" i="3"/>
  <c r="P704" i="3"/>
  <c r="P705" i="3"/>
  <c r="P706" i="3"/>
  <c r="P707" i="3"/>
  <c r="P708" i="3"/>
  <c r="P709" i="3"/>
  <c r="P710" i="3"/>
  <c r="P711" i="3"/>
  <c r="P712" i="3"/>
  <c r="P713" i="3"/>
  <c r="P714" i="3"/>
  <c r="P715" i="3"/>
  <c r="P716" i="3"/>
  <c r="P717" i="3"/>
  <c r="P718" i="3"/>
  <c r="P719" i="3"/>
  <c r="P720" i="3"/>
  <c r="P721" i="3"/>
  <c r="P722" i="3"/>
  <c r="P723" i="3"/>
  <c r="P724" i="3"/>
  <c r="P725" i="3"/>
  <c r="P726" i="3"/>
  <c r="P727" i="3"/>
  <c r="P728" i="3"/>
  <c r="P729" i="3"/>
  <c r="P730" i="3"/>
  <c r="P731" i="3"/>
  <c r="P732" i="3"/>
  <c r="P733" i="3"/>
  <c r="P734" i="3"/>
  <c r="P735" i="3"/>
  <c r="P736" i="3"/>
  <c r="P737" i="3"/>
  <c r="P738" i="3"/>
  <c r="P739" i="3"/>
  <c r="P740" i="3"/>
  <c r="P741" i="3"/>
  <c r="P742" i="3"/>
  <c r="P743" i="3"/>
  <c r="P744" i="3"/>
  <c r="P745" i="3"/>
  <c r="P746" i="3"/>
  <c r="P747" i="3"/>
  <c r="P748" i="3"/>
  <c r="P749" i="3"/>
  <c r="P750" i="3"/>
  <c r="P751" i="3"/>
  <c r="P752" i="3"/>
  <c r="P753" i="3"/>
  <c r="P754" i="3"/>
  <c r="P755" i="3"/>
  <c r="P756" i="3"/>
  <c r="P757" i="3"/>
  <c r="P758" i="3"/>
  <c r="P759" i="3"/>
  <c r="P760" i="3"/>
  <c r="P761" i="3"/>
  <c r="P762" i="3"/>
  <c r="P763" i="3"/>
  <c r="P764" i="3"/>
  <c r="P765" i="3"/>
  <c r="P766" i="3"/>
  <c r="P767" i="3"/>
  <c r="P768" i="3"/>
  <c r="P769" i="3"/>
  <c r="P770" i="3"/>
  <c r="P771" i="3"/>
  <c r="P772" i="3"/>
  <c r="P773" i="3"/>
  <c r="P774" i="3"/>
  <c r="P775" i="3"/>
  <c r="P776" i="3"/>
  <c r="P777" i="3"/>
  <c r="P778" i="3"/>
  <c r="P779" i="3"/>
  <c r="P780" i="3"/>
  <c r="P781" i="3"/>
  <c r="P782" i="3"/>
  <c r="P783" i="3"/>
  <c r="P784" i="3"/>
  <c r="P785" i="3"/>
  <c r="P786" i="3"/>
  <c r="P787" i="3"/>
  <c r="P788" i="3"/>
  <c r="P789" i="3"/>
  <c r="P790" i="3"/>
  <c r="P791" i="3"/>
  <c r="P792" i="3"/>
  <c r="P793" i="3"/>
  <c r="P794" i="3"/>
  <c r="P795" i="3"/>
  <c r="P796" i="3"/>
  <c r="P797" i="3"/>
  <c r="P798" i="3"/>
  <c r="P799" i="3"/>
  <c r="P800" i="3"/>
  <c r="P801" i="3"/>
  <c r="P802" i="3"/>
  <c r="P803" i="3"/>
  <c r="P804" i="3"/>
  <c r="P805" i="3"/>
  <c r="P806" i="3"/>
  <c r="P807" i="3"/>
  <c r="P808" i="3"/>
  <c r="P809" i="3"/>
  <c r="P810" i="3"/>
  <c r="P811" i="3"/>
  <c r="P812" i="3"/>
  <c r="P813" i="3"/>
  <c r="P814" i="3"/>
  <c r="P815" i="3"/>
  <c r="P816" i="3"/>
  <c r="P817" i="3"/>
  <c r="P818" i="3"/>
  <c r="P819" i="3"/>
  <c r="P820" i="3"/>
  <c r="P821" i="3"/>
  <c r="P822" i="3"/>
  <c r="P823" i="3"/>
  <c r="P824" i="3"/>
  <c r="P825" i="3"/>
  <c r="P826" i="3"/>
  <c r="P827" i="3"/>
  <c r="P828" i="3"/>
  <c r="P829" i="3"/>
  <c r="P830" i="3"/>
  <c r="P831" i="3"/>
  <c r="P832" i="3"/>
  <c r="P833" i="3"/>
  <c r="P834" i="3"/>
  <c r="P835" i="3"/>
  <c r="P836" i="3"/>
  <c r="P837" i="3"/>
  <c r="P838" i="3"/>
  <c r="P839" i="3"/>
  <c r="P840" i="3"/>
  <c r="P841" i="3"/>
  <c r="P842" i="3"/>
  <c r="P843" i="3"/>
  <c r="P844" i="3"/>
  <c r="P845" i="3"/>
  <c r="P846" i="3"/>
  <c r="P847" i="3"/>
  <c r="P848" i="3"/>
  <c r="P849" i="3"/>
  <c r="P850" i="3"/>
  <c r="P851" i="3"/>
  <c r="P852" i="3"/>
  <c r="P853" i="3"/>
  <c r="P854" i="3"/>
  <c r="P855" i="3"/>
  <c r="P856" i="3"/>
  <c r="P857" i="3"/>
  <c r="P858" i="3"/>
  <c r="P859" i="3"/>
  <c r="P860" i="3"/>
  <c r="P861" i="3"/>
  <c r="P862" i="3"/>
  <c r="P863" i="3"/>
  <c r="P864" i="3"/>
  <c r="P865" i="3"/>
  <c r="P866" i="3"/>
  <c r="P867" i="3"/>
  <c r="P868" i="3"/>
  <c r="P869" i="3"/>
  <c r="P870" i="3"/>
  <c r="P871" i="3"/>
  <c r="P872" i="3"/>
  <c r="P873" i="3"/>
  <c r="P874" i="3"/>
  <c r="P875" i="3"/>
  <c r="P876" i="3"/>
  <c r="P877" i="3"/>
  <c r="P878" i="3"/>
  <c r="P879" i="3"/>
  <c r="P880" i="3"/>
  <c r="P881" i="3"/>
  <c r="P882" i="3"/>
  <c r="P883" i="3"/>
  <c r="P884" i="3"/>
  <c r="P885" i="3"/>
  <c r="P886" i="3"/>
  <c r="P887" i="3"/>
  <c r="P888" i="3"/>
  <c r="P889" i="3"/>
  <c r="P890" i="3"/>
  <c r="P891" i="3"/>
  <c r="P892" i="3"/>
  <c r="P893" i="3"/>
  <c r="P894" i="3"/>
  <c r="P895" i="3"/>
  <c r="P896" i="3"/>
  <c r="P897" i="3"/>
  <c r="P898" i="3"/>
  <c r="P899" i="3"/>
  <c r="P900" i="3"/>
  <c r="P901" i="3"/>
  <c r="P902" i="3"/>
  <c r="P903" i="3"/>
  <c r="P904" i="3"/>
  <c r="P905" i="3"/>
  <c r="P906" i="3"/>
  <c r="P907" i="3"/>
  <c r="P908" i="3"/>
  <c r="P909" i="3"/>
  <c r="P910" i="3"/>
  <c r="P911" i="3"/>
  <c r="P912" i="3"/>
  <c r="P913" i="3"/>
  <c r="P914" i="3"/>
  <c r="P915" i="3"/>
  <c r="P916" i="3"/>
  <c r="P917" i="3"/>
  <c r="P918" i="3"/>
  <c r="P919" i="3"/>
  <c r="P920" i="3"/>
  <c r="P921" i="3"/>
  <c r="P922" i="3"/>
  <c r="P923" i="3"/>
  <c r="P924" i="3"/>
  <c r="P925" i="3"/>
  <c r="P926" i="3"/>
  <c r="P927" i="3"/>
  <c r="P928" i="3"/>
  <c r="P929" i="3"/>
  <c r="P930" i="3"/>
  <c r="P931" i="3"/>
  <c r="P932" i="3"/>
  <c r="P933" i="3"/>
  <c r="P934" i="3"/>
  <c r="P935" i="3"/>
  <c r="P936" i="3"/>
  <c r="P937" i="3"/>
  <c r="P938" i="3"/>
  <c r="P939" i="3"/>
  <c r="P940" i="3"/>
  <c r="P941" i="3"/>
  <c r="P942" i="3"/>
  <c r="P943" i="3"/>
  <c r="P944" i="3"/>
  <c r="P945" i="3"/>
  <c r="P946" i="3"/>
  <c r="P947" i="3"/>
  <c r="P948" i="3"/>
  <c r="P949" i="3"/>
  <c r="P950" i="3"/>
  <c r="P951" i="3"/>
  <c r="P952" i="3"/>
  <c r="P953" i="3"/>
  <c r="P954" i="3"/>
  <c r="P955" i="3"/>
  <c r="P956" i="3"/>
  <c r="P957" i="3"/>
  <c r="P958" i="3"/>
  <c r="P959" i="3"/>
  <c r="P960" i="3"/>
  <c r="P961" i="3"/>
  <c r="P962" i="3"/>
  <c r="P963" i="3"/>
  <c r="P964" i="3"/>
  <c r="P965" i="3"/>
  <c r="P966" i="3"/>
  <c r="P967" i="3"/>
  <c r="P968" i="3"/>
  <c r="P969" i="3"/>
  <c r="P970" i="3"/>
  <c r="P971" i="3"/>
  <c r="P972" i="3"/>
  <c r="P973" i="3"/>
  <c r="P974" i="3"/>
  <c r="P975" i="3"/>
  <c r="P976" i="3"/>
  <c r="P977" i="3"/>
  <c r="P978" i="3"/>
  <c r="P979" i="3"/>
  <c r="P980" i="3"/>
  <c r="P981" i="3"/>
  <c r="P982" i="3"/>
  <c r="P983" i="3"/>
  <c r="P984" i="3"/>
  <c r="P985" i="3"/>
  <c r="P986" i="3"/>
  <c r="P987" i="3"/>
  <c r="P988" i="3"/>
  <c r="P989" i="3"/>
  <c r="P990" i="3"/>
  <c r="P991" i="3"/>
  <c r="P992" i="3"/>
  <c r="P993" i="3"/>
  <c r="P994" i="3"/>
  <c r="P995" i="3"/>
  <c r="P996" i="3"/>
  <c r="P997" i="3"/>
  <c r="P998" i="3"/>
  <c r="P999" i="3"/>
  <c r="P1000" i="3"/>
  <c r="P1001" i="3"/>
  <c r="A6" i="8"/>
  <c r="A26" i="8"/>
  <c r="A18" i="8"/>
  <c r="A14" i="8"/>
  <c r="A2" i="8"/>
  <c r="A32" i="8"/>
  <c r="A24" i="8"/>
  <c r="A12" i="8"/>
</calcChain>
</file>

<file path=xl/sharedStrings.xml><?xml version="1.0" encoding="utf-8"?>
<sst xmlns="http://schemas.openxmlformats.org/spreadsheetml/2006/main" count="6090" uniqueCount="2299">
  <si>
    <t>projeto_id</t>
  </si>
  <si>
    <t>nome_projeto</t>
  </si>
  <si>
    <t>descricao_curta</t>
  </si>
  <si>
    <t>area</t>
  </si>
  <si>
    <t>prioridade</t>
  </si>
  <si>
    <t>data_inicio_planejada</t>
  </si>
  <si>
    <t>data_fim_planejada</t>
  </si>
  <si>
    <t>data_inicio_real</t>
  </si>
  <si>
    <t>data_fim_real</t>
  </si>
  <si>
    <t>orcamento_aprovado</t>
  </si>
  <si>
    <t>custo_real_acumulado</t>
  </si>
  <si>
    <t>beneficio_esperado_anual</t>
  </si>
  <si>
    <t>capacidade_planejada_horas</t>
  </si>
  <si>
    <t>horas_consumidas</t>
  </si>
  <si>
    <t>modelo_execucao</t>
  </si>
  <si>
    <t>PRJ-0001</t>
  </si>
  <si>
    <t>Integração de Dados 430</t>
  </si>
  <si>
    <t>Iniciativa para reduzir visibilidade em dados.</t>
  </si>
  <si>
    <t>Operações</t>
  </si>
  <si>
    <t>Alta</t>
  </si>
  <si>
    <t>Baixa</t>
  </si>
  <si>
    <t>Híbrido</t>
  </si>
  <si>
    <t>PRJ-0002</t>
  </si>
  <si>
    <t>Implantação de Processos 748</t>
  </si>
  <si>
    <t>Iniciativa para padronizar conformidade em processos.</t>
  </si>
  <si>
    <t>Compras</t>
  </si>
  <si>
    <t>Cascata</t>
  </si>
  <si>
    <t>PRJ-0003</t>
  </si>
  <si>
    <t>Implantação de RH 651</t>
  </si>
  <si>
    <t>Iniciativa para aumentar tempo de ciclo em rh.</t>
  </si>
  <si>
    <t>PRJ-0004</t>
  </si>
  <si>
    <t>Revisão de Processos 235</t>
  </si>
  <si>
    <t>Iniciativa para melhorar qualidade em processos.</t>
  </si>
  <si>
    <t>Jurídico</t>
  </si>
  <si>
    <t>Ágil</t>
  </si>
  <si>
    <t>PRJ-0005</t>
  </si>
  <si>
    <t>Implantação de Operações 439</t>
  </si>
  <si>
    <t>Iniciativa para integrar visibilidade em operações.</t>
  </si>
  <si>
    <t>Marketing</t>
  </si>
  <si>
    <t>PRJ-0006</t>
  </si>
  <si>
    <t>Otimização de Plataforma 699</t>
  </si>
  <si>
    <t>Iniciativa para integrar qualidade em plataforma.</t>
  </si>
  <si>
    <t>Crítica</t>
  </si>
  <si>
    <t>Média</t>
  </si>
  <si>
    <t>PRJ-0007</t>
  </si>
  <si>
    <t>Integração de Relatórios 383</t>
  </si>
  <si>
    <t>Iniciativa para reduzir conformidade em relatórios.</t>
  </si>
  <si>
    <t>PRJ-0008</t>
  </si>
  <si>
    <t>Automação de Relatórios 676</t>
  </si>
  <si>
    <t>Iniciativa para padronizar conformidade em relatórios.</t>
  </si>
  <si>
    <t>Atendimento</t>
  </si>
  <si>
    <t>PRJ-0009</t>
  </si>
  <si>
    <t>Modernização de Supply 022</t>
  </si>
  <si>
    <t>Iniciativa para integrar conformidade em supply.</t>
  </si>
  <si>
    <t>Comercial</t>
  </si>
  <si>
    <t>PRJ-0010</t>
  </si>
  <si>
    <t>Padronização de Segurança 804</t>
  </si>
  <si>
    <t>Iniciativa para padronizar visibilidade em segurança.</t>
  </si>
  <si>
    <t>Financeiro</t>
  </si>
  <si>
    <t>PRJ-0011</t>
  </si>
  <si>
    <t>Integração de Segurança 550</t>
  </si>
  <si>
    <t>Iniciativa para padronizar tempo de ciclo em segurança.</t>
  </si>
  <si>
    <t>PRJ-0012</t>
  </si>
  <si>
    <t>Padronização de RH 219</t>
  </si>
  <si>
    <t>Iniciativa para padronizar custos em rh.</t>
  </si>
  <si>
    <t>PRJ-0013</t>
  </si>
  <si>
    <t>Otimização de Supply 059</t>
  </si>
  <si>
    <t>Iniciativa para melhorar conformidade em supply.</t>
  </si>
  <si>
    <t>PRJ-0014</t>
  </si>
  <si>
    <t>Modernização de Financeiro 674</t>
  </si>
  <si>
    <t>Iniciativa para integrar conformidade em financeiro.</t>
  </si>
  <si>
    <t>Logística</t>
  </si>
  <si>
    <t>PRJ-0015</t>
  </si>
  <si>
    <t>Modernização de Plataforma 551</t>
  </si>
  <si>
    <t>Iniciativa para reduzir conformidade em plataforma.</t>
  </si>
  <si>
    <t>PRJ-0016</t>
  </si>
  <si>
    <t>Implantação de Plataforma 962</t>
  </si>
  <si>
    <t>Iniciativa para reduzir qualidade em plataforma.</t>
  </si>
  <si>
    <t>RH</t>
  </si>
  <si>
    <t>PRJ-0017</t>
  </si>
  <si>
    <t>Expansão de Atendimento 046</t>
  </si>
  <si>
    <t>Iniciativa para melhorar qualidade em atendimento.</t>
  </si>
  <si>
    <t>PRJ-0018</t>
  </si>
  <si>
    <t>Otimização de Atendimento 374</t>
  </si>
  <si>
    <t>PRJ-0019</t>
  </si>
  <si>
    <t>Revisão de Financeiro 822</t>
  </si>
  <si>
    <t>Iniciativa para reduzir qualidade em financeiro.</t>
  </si>
  <si>
    <t>PRJ-0020</t>
  </si>
  <si>
    <t>Implantação de Supply 657</t>
  </si>
  <si>
    <t>Iniciativa para integrar visibilidade em supply.</t>
  </si>
  <si>
    <t>PRJ-0021</t>
  </si>
  <si>
    <t>Integração de Atendimento 046</t>
  </si>
  <si>
    <t>Iniciativa para padronizar custos em atendimento.</t>
  </si>
  <si>
    <t>PRJ-0022</t>
  </si>
  <si>
    <t>Automação de Segurança 431</t>
  </si>
  <si>
    <t>PRJ-0023</t>
  </si>
  <si>
    <t>Modernização de Atendimento 528</t>
  </si>
  <si>
    <t>Iniciativa para integrar qualidade em atendimento.</t>
  </si>
  <si>
    <t>PRJ-0024</t>
  </si>
  <si>
    <t>Expansão de Segurança 152</t>
  </si>
  <si>
    <t>Iniciativa para melhorar custos em segurança.</t>
  </si>
  <si>
    <t>PRJ-0025</t>
  </si>
  <si>
    <t>Revisão de RH 628</t>
  </si>
  <si>
    <t>Iniciativa para integrar visibilidade em rh.</t>
  </si>
  <si>
    <t>PRJ-0026</t>
  </si>
  <si>
    <t>Implantação de Supply 328</t>
  </si>
  <si>
    <t>Iniciativa para integrar custos em supply.</t>
  </si>
  <si>
    <t>PRJ-0027</t>
  </si>
  <si>
    <t>Otimização de Operações 390</t>
  </si>
  <si>
    <t>Iniciativa para padronizar custos em operações.</t>
  </si>
  <si>
    <t>PRJ-0028</t>
  </si>
  <si>
    <t>Expansão de Relatórios 861</t>
  </si>
  <si>
    <t>Iniciativa para padronizar tempo de ciclo em relatórios.</t>
  </si>
  <si>
    <t>PRJ-0029</t>
  </si>
  <si>
    <t>Revisão de Financeiro 285</t>
  </si>
  <si>
    <t>Iniciativa para padronizar qualidade em financeiro.</t>
  </si>
  <si>
    <t>PRJ-0030</t>
  </si>
  <si>
    <t>Modernização de Operações 971</t>
  </si>
  <si>
    <t>Iniciativa para reduzir visibilidade em operações.</t>
  </si>
  <si>
    <t>PRJ-0031</t>
  </si>
  <si>
    <t>Integração de Plataforma 714</t>
  </si>
  <si>
    <t>Iniciativa para aumentar conformidade em plataforma.</t>
  </si>
  <si>
    <t>PRJ-0032</t>
  </si>
  <si>
    <t>Automação de Financeiro 181</t>
  </si>
  <si>
    <t>Iniciativa para integrar qualidade em financeiro.</t>
  </si>
  <si>
    <t>PRJ-0033</t>
  </si>
  <si>
    <t>Otimização de RH 872</t>
  </si>
  <si>
    <t>PRJ-0034</t>
  </si>
  <si>
    <t>Padronização de RH 459</t>
  </si>
  <si>
    <t>Iniciativa para melhorar custos em rh.</t>
  </si>
  <si>
    <t>PRJ-0035</t>
  </si>
  <si>
    <t>Modernização de Segurança 324</t>
  </si>
  <si>
    <t>Iniciativa para melhorar conformidade em segurança.</t>
  </si>
  <si>
    <t>PRJ-0036</t>
  </si>
  <si>
    <t>Automação de Atendimento 047</t>
  </si>
  <si>
    <t>Iniciativa para melhorar conformidade em atendimento.</t>
  </si>
  <si>
    <t>PRJ-0037</t>
  </si>
  <si>
    <t>Modernização de Financeiro 504</t>
  </si>
  <si>
    <t>Iniciativa para melhorar conformidade em financeiro.</t>
  </si>
  <si>
    <t>PRJ-0038</t>
  </si>
  <si>
    <t>Expansão de Atendimento 583</t>
  </si>
  <si>
    <t>Iniciativa para integrar custos em atendimento.</t>
  </si>
  <si>
    <t>TI</t>
  </si>
  <si>
    <t>PRJ-0039</t>
  </si>
  <si>
    <t>Implantação de Processos 238</t>
  </si>
  <si>
    <t>Iniciativa para aumentar qualidade em processos.</t>
  </si>
  <si>
    <t>PRJ-0040</t>
  </si>
  <si>
    <t>Modernização de Processos 170</t>
  </si>
  <si>
    <t>Iniciativa para aumentar conformidade em processos.</t>
  </si>
  <si>
    <t>PRJ-0041</t>
  </si>
  <si>
    <t>Otimização de Plataforma 235</t>
  </si>
  <si>
    <t>Iniciativa para integrar conformidade em plataforma.</t>
  </si>
  <si>
    <t>PRJ-0042</t>
  </si>
  <si>
    <t>Expansão de Supply 329</t>
  </si>
  <si>
    <t>Iniciativa para melhorar tempo de ciclo em supply.</t>
  </si>
  <si>
    <t>PRJ-0043</t>
  </si>
  <si>
    <t>Padronização de Financeiro 056</t>
  </si>
  <si>
    <t>Iniciativa para reduzir conformidade em financeiro.</t>
  </si>
  <si>
    <t>PRJ-0044</t>
  </si>
  <si>
    <t>Automação de Atendimento 565</t>
  </si>
  <si>
    <t>PRJ-0045</t>
  </si>
  <si>
    <t>Automação de Financeiro 196</t>
  </si>
  <si>
    <t>PRJ-0046</t>
  </si>
  <si>
    <t>Expansão de RH 956</t>
  </si>
  <si>
    <t>PRJ-0047</t>
  </si>
  <si>
    <t>Modernização de RH 103</t>
  </si>
  <si>
    <t>PRJ-0048</t>
  </si>
  <si>
    <t>Padronização de Dados 037</t>
  </si>
  <si>
    <t>Iniciativa para integrar custos em dados.</t>
  </si>
  <si>
    <t>PRJ-0049</t>
  </si>
  <si>
    <t>Automação de Segurança 544</t>
  </si>
  <si>
    <t>Iniciativa para padronizar conformidade em segurança.</t>
  </si>
  <si>
    <t>PRJ-0050</t>
  </si>
  <si>
    <t>Implantação de Dados 162</t>
  </si>
  <si>
    <t>Iniciativa para melhorar visibilidade em dados.</t>
  </si>
  <si>
    <t>PRJ-0051</t>
  </si>
  <si>
    <t>Expansão de Atendimento 009</t>
  </si>
  <si>
    <t>PRJ-0052</t>
  </si>
  <si>
    <t>Modernização de Processos 317</t>
  </si>
  <si>
    <t>Iniciativa para padronizar custos em processos.</t>
  </si>
  <si>
    <t>PRJ-0053</t>
  </si>
  <si>
    <t>Revisão de Plataforma 480</t>
  </si>
  <si>
    <t>Iniciativa para melhorar tempo de ciclo em plataforma.</t>
  </si>
  <si>
    <t>PRJ-0054</t>
  </si>
  <si>
    <t>Integração de RH 026</t>
  </si>
  <si>
    <t>Iniciativa para integrar conformidade em rh.</t>
  </si>
  <si>
    <t>PRJ-0055</t>
  </si>
  <si>
    <t>Integração de Dados 139</t>
  </si>
  <si>
    <t>Iniciativa para padronizar visibilidade em dados.</t>
  </si>
  <si>
    <t>PRJ-0056</t>
  </si>
  <si>
    <t>Modernização de Supply 558</t>
  </si>
  <si>
    <t>Iniciativa para aumentar custos em supply.</t>
  </si>
  <si>
    <t>PRJ-0057</t>
  </si>
  <si>
    <t>Modernização de Dados 213</t>
  </si>
  <si>
    <t>Iniciativa para integrar tempo de ciclo em dados.</t>
  </si>
  <si>
    <t>PRJ-0058</t>
  </si>
  <si>
    <t>Revisão de Processos 179</t>
  </si>
  <si>
    <t>Iniciativa para aumentar custos em processos.</t>
  </si>
  <si>
    <t>PRJ-0059</t>
  </si>
  <si>
    <t>Padronização de Processos 063</t>
  </si>
  <si>
    <t>Iniciativa para padronizar visibilidade em processos.</t>
  </si>
  <si>
    <t>PRJ-0060</t>
  </si>
  <si>
    <t>Implantação de RH 518</t>
  </si>
  <si>
    <t>PRJ-0061</t>
  </si>
  <si>
    <t>Expansão de Supply 682</t>
  </si>
  <si>
    <t>Iniciativa para aumentar qualidade em supply.</t>
  </si>
  <si>
    <t>PRJ-0062</t>
  </si>
  <si>
    <t>Revisão de Financeiro 889</t>
  </si>
  <si>
    <t>Iniciativa para melhorar qualidade em financeiro.</t>
  </si>
  <si>
    <t>PRJ-0063</t>
  </si>
  <si>
    <t>Otimização de Operações 952</t>
  </si>
  <si>
    <t>Iniciativa para aumentar custos em operações.</t>
  </si>
  <si>
    <t>PRJ-0064</t>
  </si>
  <si>
    <t>Integração de Financeiro 430</t>
  </si>
  <si>
    <t>PRJ-0065</t>
  </si>
  <si>
    <t>Padronização de Financeiro 280</t>
  </si>
  <si>
    <t>PRJ-0066</t>
  </si>
  <si>
    <t>Automação de Atendimento 297</t>
  </si>
  <si>
    <t>Iniciativa para aumentar custos em atendimento.</t>
  </si>
  <si>
    <t>PRJ-0067</t>
  </si>
  <si>
    <t>Modernização de Supply 590</t>
  </si>
  <si>
    <t>Iniciativa para padronizar conformidade em supply.</t>
  </si>
  <si>
    <t>PRJ-0068</t>
  </si>
  <si>
    <t>Implantação de Supply 227</t>
  </si>
  <si>
    <t>Iniciativa para aumentar tempo de ciclo em supply.</t>
  </si>
  <si>
    <t>PRJ-0069</t>
  </si>
  <si>
    <t>Modernização de Relatórios 975</t>
  </si>
  <si>
    <t>Iniciativa para padronizar visibilidade em relatórios.</t>
  </si>
  <si>
    <t>PRJ-0070</t>
  </si>
  <si>
    <t>Otimização de Supply 520</t>
  </si>
  <si>
    <t>Iniciativa para melhorar qualidade em supply.</t>
  </si>
  <si>
    <t>PRJ-0071</t>
  </si>
  <si>
    <t>Integração de Supply 620</t>
  </si>
  <si>
    <t>PRJ-0072</t>
  </si>
  <si>
    <t>Revisão de Supply 940</t>
  </si>
  <si>
    <t>Iniciativa para aumentar visibilidade em supply.</t>
  </si>
  <si>
    <t>PRJ-0073</t>
  </si>
  <si>
    <t>Revisão de Plataforma 597</t>
  </si>
  <si>
    <t>PRJ-0074</t>
  </si>
  <si>
    <t>Implantação de Relatórios 974</t>
  </si>
  <si>
    <t>Iniciativa para reduzir qualidade em relatórios.</t>
  </si>
  <si>
    <t>PRJ-0075</t>
  </si>
  <si>
    <t>Automação de Relatórios 186</t>
  </si>
  <si>
    <t>Iniciativa para integrar tempo de ciclo em relatórios.</t>
  </si>
  <si>
    <t>PRJ-0076</t>
  </si>
  <si>
    <t>Revisão de Operações 452</t>
  </si>
  <si>
    <t>Iniciativa para padronizar qualidade em operações.</t>
  </si>
  <si>
    <t>PRJ-0077</t>
  </si>
  <si>
    <t>Automação de Atendimento 461</t>
  </si>
  <si>
    <t>Iniciativa para integrar tempo de ciclo em atendimento.</t>
  </si>
  <si>
    <t>PRJ-0078</t>
  </si>
  <si>
    <t>Modernização de Supply 811</t>
  </si>
  <si>
    <t>Iniciativa para reduzir tempo de ciclo em supply.</t>
  </si>
  <si>
    <t>PRJ-0079</t>
  </si>
  <si>
    <t>Expansão de Plataforma 795</t>
  </si>
  <si>
    <t>Iniciativa para aumentar tempo de ciclo em plataforma.</t>
  </si>
  <si>
    <t>PRJ-0080</t>
  </si>
  <si>
    <t>Expansão de Processos 630</t>
  </si>
  <si>
    <t>Iniciativa para aumentar tempo de ciclo em processos.</t>
  </si>
  <si>
    <t>PRJ-0081</t>
  </si>
  <si>
    <t>Implantação de Processos 366</t>
  </si>
  <si>
    <t>PRJ-0082</t>
  </si>
  <si>
    <t>Modernização de RH 038</t>
  </si>
  <si>
    <t>PRJ-0083</t>
  </si>
  <si>
    <t>Modernização de Supply 448</t>
  </si>
  <si>
    <t>Iniciativa para padronizar visibilidade em supply.</t>
  </si>
  <si>
    <t>PRJ-0084</t>
  </si>
  <si>
    <t>Modernização de Supply 677</t>
  </si>
  <si>
    <t>PRJ-0085</t>
  </si>
  <si>
    <t>Automação de Processos 147</t>
  </si>
  <si>
    <t>Iniciativa para integrar visibilidade em processos.</t>
  </si>
  <si>
    <t>PRJ-0086</t>
  </si>
  <si>
    <t>Automação de Dados 376</t>
  </si>
  <si>
    <t>Iniciativa para padronizar qualidade em dados.</t>
  </si>
  <si>
    <t>PRJ-0087</t>
  </si>
  <si>
    <t>Modernização de Relatórios 874</t>
  </si>
  <si>
    <t>Iniciativa para melhorar visibilidade em relatórios.</t>
  </si>
  <si>
    <t>PRJ-0088</t>
  </si>
  <si>
    <t>Integração de Plataforma 206</t>
  </si>
  <si>
    <t>Iniciativa para reduzir tempo de ciclo em plataforma.</t>
  </si>
  <si>
    <t>PRJ-0089</t>
  </si>
  <si>
    <t>Expansão de Operações 076</t>
  </si>
  <si>
    <t>Iniciativa para reduzir qualidade em operações.</t>
  </si>
  <si>
    <t>PRJ-0090</t>
  </si>
  <si>
    <t>Implantação de Relatórios 166</t>
  </si>
  <si>
    <t>Iniciativa para aumentar tempo de ciclo em relatórios.</t>
  </si>
  <si>
    <t>PRJ-0091</t>
  </si>
  <si>
    <t>Revisão de Operações 043</t>
  </si>
  <si>
    <t>Iniciativa para melhorar custos em operações.</t>
  </si>
  <si>
    <t>PRJ-0092</t>
  </si>
  <si>
    <t>Padronização de Plataforma 706</t>
  </si>
  <si>
    <t>PRJ-0093</t>
  </si>
  <si>
    <t>Integração de RH 126</t>
  </si>
  <si>
    <t>Iniciativa para aumentar visibilidade em rh.</t>
  </si>
  <si>
    <t>PRJ-0094</t>
  </si>
  <si>
    <t>Automação de RH 528</t>
  </si>
  <si>
    <t>Iniciativa para padronizar visibilidade em rh.</t>
  </si>
  <si>
    <t>PRJ-0095</t>
  </si>
  <si>
    <t>Otimização de Plataforma 442</t>
  </si>
  <si>
    <t>PRJ-0096</t>
  </si>
  <si>
    <t>Automação de Plataforma 404</t>
  </si>
  <si>
    <t>Iniciativa para aumentar qualidade em plataforma.</t>
  </si>
  <si>
    <t>PRJ-0097</t>
  </si>
  <si>
    <t>Revisão de Operações 327</t>
  </si>
  <si>
    <t>PRJ-0098</t>
  </si>
  <si>
    <t>Otimização de Operações 486</t>
  </si>
  <si>
    <t>Iniciativa para aumentar conformidade em operações.</t>
  </si>
  <si>
    <t>PRJ-0099</t>
  </si>
  <si>
    <t>Otimização de RH 322</t>
  </si>
  <si>
    <t>Iniciativa para padronizar tempo de ciclo em rh.</t>
  </si>
  <si>
    <t>PRJ-0100</t>
  </si>
  <si>
    <t>Automação de RH 935</t>
  </si>
  <si>
    <t>Iniciativa para integrar qualidade em rh.</t>
  </si>
  <si>
    <t>PRJ-0101</t>
  </si>
  <si>
    <t>Integração de RH 325</t>
  </si>
  <si>
    <t>Iniciativa para padronizar qualidade em rh.</t>
  </si>
  <si>
    <t>PRJ-0102</t>
  </si>
  <si>
    <t>Integração de Dados 278</t>
  </si>
  <si>
    <t>Iniciativa para integrar qualidade em dados.</t>
  </si>
  <si>
    <t>PRJ-0103</t>
  </si>
  <si>
    <t>Automação de Financeiro 669</t>
  </si>
  <si>
    <t>Iniciativa para padronizar visibilidade em financeiro.</t>
  </si>
  <si>
    <t>PRJ-0104</t>
  </si>
  <si>
    <t>Padronização de Relatórios 960</t>
  </si>
  <si>
    <t>Iniciativa para aumentar custos em relatórios.</t>
  </si>
  <si>
    <t>PRJ-0105</t>
  </si>
  <si>
    <t>Implantação de Relatórios 015</t>
  </si>
  <si>
    <t>Iniciativa para aumentar qualidade em relatórios.</t>
  </si>
  <si>
    <t>PRJ-0106</t>
  </si>
  <si>
    <t>Implantação de Financeiro 242</t>
  </si>
  <si>
    <t>PRJ-0107</t>
  </si>
  <si>
    <t>Modernização de Atendimento 377</t>
  </si>
  <si>
    <t>PRJ-0108</t>
  </si>
  <si>
    <t>Revisão de Plataforma 940</t>
  </si>
  <si>
    <t>Iniciativa para integrar custos em plataforma.</t>
  </si>
  <si>
    <t>PRJ-0109</t>
  </si>
  <si>
    <t>Automação de Dados 426</t>
  </si>
  <si>
    <t>Iniciativa para padronizar conformidade em dados.</t>
  </si>
  <si>
    <t>PRJ-0110</t>
  </si>
  <si>
    <t>Otimização de Atendimento 419</t>
  </si>
  <si>
    <t>Iniciativa para reduzir tempo de ciclo em atendimento.</t>
  </si>
  <si>
    <t>PRJ-0111</t>
  </si>
  <si>
    <t>Automação de Segurança 855</t>
  </si>
  <si>
    <t>PRJ-0112</t>
  </si>
  <si>
    <t>Otimização de Segurança 212</t>
  </si>
  <si>
    <t>PRJ-0113</t>
  </si>
  <si>
    <t>Revisão de Operações 613</t>
  </si>
  <si>
    <t>Iniciativa para aumentar tempo de ciclo em operações.</t>
  </si>
  <si>
    <t>PRJ-0114</t>
  </si>
  <si>
    <t>Revisão de Financeiro 419</t>
  </si>
  <si>
    <t>PRJ-0115</t>
  </si>
  <si>
    <t>Implantação de Segurança 339</t>
  </si>
  <si>
    <t>Iniciativa para melhorar visibilidade em segurança.</t>
  </si>
  <si>
    <t>PRJ-0116</t>
  </si>
  <si>
    <t>Padronização de Segurança 891</t>
  </si>
  <si>
    <t>Iniciativa para aumentar qualidade em segurança.</t>
  </si>
  <si>
    <t>PRJ-0117</t>
  </si>
  <si>
    <t>Padronização de Dados 665</t>
  </si>
  <si>
    <t>Iniciativa para aumentar qualidade em dados.</t>
  </si>
  <si>
    <t>PRJ-0118</t>
  </si>
  <si>
    <t>Implantação de Dados 958</t>
  </si>
  <si>
    <t>Iniciativa para integrar conformidade em dados.</t>
  </si>
  <si>
    <t>PRJ-0119</t>
  </si>
  <si>
    <t>Automação de Supply 174</t>
  </si>
  <si>
    <t>Iniciativa para reduzir conformidade em supply.</t>
  </si>
  <si>
    <t>PRJ-0120</t>
  </si>
  <si>
    <t>Automação de Processos 224</t>
  </si>
  <si>
    <t>PRJ-0121</t>
  </si>
  <si>
    <t>Otimização de Dados 833</t>
  </si>
  <si>
    <t>Iniciativa para padronizar tempo de ciclo em dados.</t>
  </si>
  <si>
    <t>PRJ-0122</t>
  </si>
  <si>
    <t>Modernização de Processos 096</t>
  </si>
  <si>
    <t>PRJ-0123</t>
  </si>
  <si>
    <t>Implantação de Processos 947</t>
  </si>
  <si>
    <t>PRJ-0124</t>
  </si>
  <si>
    <t>Revisão de Financeiro 774</t>
  </si>
  <si>
    <t>Iniciativa para reduzir custos em financeiro.</t>
  </si>
  <si>
    <t>PRJ-0125</t>
  </si>
  <si>
    <t>Revisão de Dados 964</t>
  </si>
  <si>
    <t>PRJ-0126</t>
  </si>
  <si>
    <t>Implantação de RH 369</t>
  </si>
  <si>
    <t>Iniciativa para aumentar custos em rh.</t>
  </si>
  <si>
    <t>PRJ-0127</t>
  </si>
  <si>
    <t>Expansão de Financeiro 798</t>
  </si>
  <si>
    <t>PRJ-0128</t>
  </si>
  <si>
    <t>Integração de RH 609</t>
  </si>
  <si>
    <t>Iniciativa para integrar tempo de ciclo em rh.</t>
  </si>
  <si>
    <t>PRJ-0129</t>
  </si>
  <si>
    <t>Revisão de Relatórios 988</t>
  </si>
  <si>
    <t>Iniciativa para padronizar qualidade em relatórios.</t>
  </si>
  <si>
    <t>PRJ-0130</t>
  </si>
  <si>
    <t>Padronização de Segurança 449</t>
  </si>
  <si>
    <t>Iniciativa para aumentar custos em segurança.</t>
  </si>
  <si>
    <t>PRJ-0131</t>
  </si>
  <si>
    <t>Expansão de Dados 038</t>
  </si>
  <si>
    <t>Iniciativa para aumentar conformidade em dados.</t>
  </si>
  <si>
    <t>PRJ-0132</t>
  </si>
  <si>
    <t>Otimização de Plataforma 265</t>
  </si>
  <si>
    <t>PRJ-0133</t>
  </si>
  <si>
    <t>Automação de Supply 320</t>
  </si>
  <si>
    <t>PRJ-0134</t>
  </si>
  <si>
    <t>Integração de Dados 179</t>
  </si>
  <si>
    <t>PRJ-0135</t>
  </si>
  <si>
    <t>Otimização de Segurança 211</t>
  </si>
  <si>
    <t>PRJ-0136</t>
  </si>
  <si>
    <t>Revisão de RH 633</t>
  </si>
  <si>
    <t>Iniciativa para reduzir qualidade em rh.</t>
  </si>
  <si>
    <t>PRJ-0137</t>
  </si>
  <si>
    <t>Padronização de Dados 711</t>
  </si>
  <si>
    <t>Iniciativa para reduzir conformidade em dados.</t>
  </si>
  <si>
    <t>PRJ-0138</t>
  </si>
  <si>
    <t>Padronização de Financeiro 702</t>
  </si>
  <si>
    <t>PRJ-0139</t>
  </si>
  <si>
    <t>Modernização de Operações 117</t>
  </si>
  <si>
    <t>PRJ-0140</t>
  </si>
  <si>
    <t>Modernização de Segurança 215</t>
  </si>
  <si>
    <t>Iniciativa para integrar qualidade em segurança.</t>
  </si>
  <si>
    <t>PRJ-0141</t>
  </si>
  <si>
    <t>Modernização de Relatórios 986</t>
  </si>
  <si>
    <t>Iniciativa para padronizar custos em relatórios.</t>
  </si>
  <si>
    <t>PRJ-0142</t>
  </si>
  <si>
    <t>Implantação de Supply 466</t>
  </si>
  <si>
    <t>Iniciativa para padronizar qualidade em supply.</t>
  </si>
  <si>
    <t>PRJ-0143</t>
  </si>
  <si>
    <t>Revisão de Atendimento 346</t>
  </si>
  <si>
    <t>Iniciativa para integrar conformidade em atendimento.</t>
  </si>
  <si>
    <t>PRJ-0144</t>
  </si>
  <si>
    <t>Integração de Relatórios 904</t>
  </si>
  <si>
    <t>PRJ-0145</t>
  </si>
  <si>
    <t>Padronização de Plataforma 136</t>
  </si>
  <si>
    <t>Iniciativa para integrar tempo de ciclo em plataforma.</t>
  </si>
  <si>
    <t>PRJ-0146</t>
  </si>
  <si>
    <t>Automação de Financeiro 793</t>
  </si>
  <si>
    <t>Iniciativa para reduzir tempo de ciclo em financeiro.</t>
  </si>
  <si>
    <t>PRJ-0147</t>
  </si>
  <si>
    <t>Expansão de Supply 987</t>
  </si>
  <si>
    <t>PRJ-0148</t>
  </si>
  <si>
    <t>Integração de Financeiro 303</t>
  </si>
  <si>
    <t>Iniciativa para melhorar tempo de ciclo em financeiro.</t>
  </si>
  <si>
    <t>PRJ-0149</t>
  </si>
  <si>
    <t>Automação de RH 978</t>
  </si>
  <si>
    <t>PRJ-0150</t>
  </si>
  <si>
    <t>Automação de Atendimento 086</t>
  </si>
  <si>
    <t>PRJ-0151</t>
  </si>
  <si>
    <t>Modernização de Financeiro 119</t>
  </si>
  <si>
    <t>Iniciativa para padronizar conformidade em financeiro.</t>
  </si>
  <si>
    <t>PRJ-0152</t>
  </si>
  <si>
    <t>Revisão de Relatórios 768</t>
  </si>
  <si>
    <t>PRJ-0153</t>
  </si>
  <si>
    <t>Modernização de Operações 691</t>
  </si>
  <si>
    <t>Iniciativa para melhorar tempo de ciclo em operações.</t>
  </si>
  <si>
    <t>PRJ-0154</t>
  </si>
  <si>
    <t>Revisão de Segurança 427</t>
  </si>
  <si>
    <t>PRJ-0155</t>
  </si>
  <si>
    <t>Padronização de Processos 378</t>
  </si>
  <si>
    <t>Iniciativa para reduzir qualidade em processos.</t>
  </si>
  <si>
    <t>PRJ-0156</t>
  </si>
  <si>
    <t>Otimização de Supply 002</t>
  </si>
  <si>
    <t>PRJ-0157</t>
  </si>
  <si>
    <t>Modernização de Dados 137</t>
  </si>
  <si>
    <t>Iniciativa para padronizar custos em dados.</t>
  </si>
  <si>
    <t>PRJ-0158</t>
  </si>
  <si>
    <t>Modernização de Relatórios 109</t>
  </si>
  <si>
    <t>Iniciativa para reduzir visibilidade em relatórios.</t>
  </si>
  <si>
    <t>PRJ-0159</t>
  </si>
  <si>
    <t>Automação de Plataforma 729</t>
  </si>
  <si>
    <t>PRJ-0160</t>
  </si>
  <si>
    <t>Integração de Financeiro 382</t>
  </si>
  <si>
    <t>PRJ-0161</t>
  </si>
  <si>
    <t>Expansão de RH 031</t>
  </si>
  <si>
    <t>PRJ-0162</t>
  </si>
  <si>
    <t>Expansão de Relatórios 430</t>
  </si>
  <si>
    <t>PRJ-0163</t>
  </si>
  <si>
    <t>Otimização de Atendimento 060</t>
  </si>
  <si>
    <t>Iniciativa para padronizar conformidade em atendimento.</t>
  </si>
  <si>
    <t>PRJ-0164</t>
  </si>
  <si>
    <t>Revisão de Supply 936</t>
  </si>
  <si>
    <t>PRJ-0165</t>
  </si>
  <si>
    <t>Integração de Relatórios 349</t>
  </si>
  <si>
    <t>PRJ-0166</t>
  </si>
  <si>
    <t>Expansão de RH 665</t>
  </si>
  <si>
    <t>PRJ-0167</t>
  </si>
  <si>
    <t>Automação de Operações 326</t>
  </si>
  <si>
    <t>Iniciativa para integrar tempo de ciclo em operações.</t>
  </si>
  <si>
    <t>PRJ-0168</t>
  </si>
  <si>
    <t>Implantação de Plataforma 738</t>
  </si>
  <si>
    <t>Iniciativa para melhorar custos em plataforma.</t>
  </si>
  <si>
    <t>PRJ-0169</t>
  </si>
  <si>
    <t>Padronização de Plataforma 819</t>
  </si>
  <si>
    <t>Iniciativa para melhorar qualidade em plataforma.</t>
  </si>
  <si>
    <t>PRJ-0170</t>
  </si>
  <si>
    <t>Automação de Operações 912</t>
  </si>
  <si>
    <t>Iniciativa para padronizar tempo de ciclo em operações.</t>
  </si>
  <si>
    <t>PRJ-0171</t>
  </si>
  <si>
    <t>Automação de Processos 370</t>
  </si>
  <si>
    <t>Iniciativa para melhorar visibilidade em processos.</t>
  </si>
  <si>
    <t>PRJ-0172</t>
  </si>
  <si>
    <t>Padronização de Atendimento 094</t>
  </si>
  <si>
    <t>Iniciativa para integrar visibilidade em atendimento.</t>
  </si>
  <si>
    <t>PRJ-0173</t>
  </si>
  <si>
    <t>Revisão de Dados 424</t>
  </si>
  <si>
    <t>PRJ-0174</t>
  </si>
  <si>
    <t>Automação de Plataforma 973</t>
  </si>
  <si>
    <t>Iniciativa para padronizar tempo de ciclo em plataforma.</t>
  </si>
  <si>
    <t>PRJ-0175</t>
  </si>
  <si>
    <t>Expansão de Dados 334</t>
  </si>
  <si>
    <t>PRJ-0176</t>
  </si>
  <si>
    <t>Revisão de Financeiro 271</t>
  </si>
  <si>
    <t>PRJ-0177</t>
  </si>
  <si>
    <t>Otimização de Supply 838</t>
  </si>
  <si>
    <t>PRJ-0178</t>
  </si>
  <si>
    <t>Padronização de Dados 889</t>
  </si>
  <si>
    <t>Iniciativa para aumentar custos em dados.</t>
  </si>
  <si>
    <t>PRJ-0179</t>
  </si>
  <si>
    <t>Integração de Atendimento 378</t>
  </si>
  <si>
    <t>PRJ-0180</t>
  </si>
  <si>
    <t>Otimização de Financeiro 051</t>
  </si>
  <si>
    <t>PRJ-0181</t>
  </si>
  <si>
    <t>Integração de Atendimento 623</t>
  </si>
  <si>
    <t>Iniciativa para aumentar qualidade em atendimento.</t>
  </si>
  <si>
    <t>PRJ-0182</t>
  </si>
  <si>
    <t>Implantação de Atendimento 701</t>
  </si>
  <si>
    <t>Iniciativa para melhorar visibilidade em atendimento.</t>
  </si>
  <si>
    <t>PRJ-0183</t>
  </si>
  <si>
    <t>Revisão de Relatórios 739</t>
  </si>
  <si>
    <t>PRJ-0184</t>
  </si>
  <si>
    <t>Implantação de Relatórios 861</t>
  </si>
  <si>
    <t>PRJ-0185</t>
  </si>
  <si>
    <t>Implantação de Operações 302</t>
  </si>
  <si>
    <t>PRJ-0186</t>
  </si>
  <si>
    <t>Expansão de Operações 915</t>
  </si>
  <si>
    <t>PRJ-0187</t>
  </si>
  <si>
    <t>Modernização de Relatórios 630</t>
  </si>
  <si>
    <t>PRJ-0188</t>
  </si>
  <si>
    <t>Revisão de Atendimento 133</t>
  </si>
  <si>
    <t>PRJ-0189</t>
  </si>
  <si>
    <t>Integração de Relatórios 971</t>
  </si>
  <si>
    <t>PRJ-0190</t>
  </si>
  <si>
    <t>Otimização de Plataforma 670</t>
  </si>
  <si>
    <t>PRJ-0191</t>
  </si>
  <si>
    <t>Automação de Financeiro 851</t>
  </si>
  <si>
    <t>PRJ-0192</t>
  </si>
  <si>
    <t>Integração de RH 339</t>
  </si>
  <si>
    <t>Iniciativa para reduzir custos em rh.</t>
  </si>
  <si>
    <t>PRJ-0193</t>
  </si>
  <si>
    <t>Padronização de Processos 103</t>
  </si>
  <si>
    <t>Iniciativa para reduzir custos em processos.</t>
  </si>
  <si>
    <t>PRJ-0194</t>
  </si>
  <si>
    <t>Revisão de Relatórios 117</t>
  </si>
  <si>
    <t>PRJ-0195</t>
  </si>
  <si>
    <t>Padronização de Relatórios 626</t>
  </si>
  <si>
    <t>PRJ-0196</t>
  </si>
  <si>
    <t>Integração de Supply 532</t>
  </si>
  <si>
    <t>PRJ-0197</t>
  </si>
  <si>
    <t>Automação de Plataforma 770</t>
  </si>
  <si>
    <t>Iniciativa para padronizar qualidade em plataforma.</t>
  </si>
  <si>
    <t>PRJ-0198</t>
  </si>
  <si>
    <t>Revisão de Plataforma 510</t>
  </si>
  <si>
    <t>PRJ-0199</t>
  </si>
  <si>
    <t>Integração de RH 340</t>
  </si>
  <si>
    <t>PRJ-0200</t>
  </si>
  <si>
    <t>Padronização de Relatórios 842</t>
  </si>
  <si>
    <t>PRJ-0201</t>
  </si>
  <si>
    <t>Automação de RH 005</t>
  </si>
  <si>
    <t>Iniciativa para integrar custos em rh.</t>
  </si>
  <si>
    <t>PRJ-0202</t>
  </si>
  <si>
    <t>Expansão de Financeiro 624</t>
  </si>
  <si>
    <t>PRJ-0203</t>
  </si>
  <si>
    <t>Implantação de Supply 944</t>
  </si>
  <si>
    <t>PRJ-0204</t>
  </si>
  <si>
    <t>Otimização de Financeiro 149</t>
  </si>
  <si>
    <t>Iniciativa para melhorar custos em financeiro.</t>
  </si>
  <si>
    <t>PRJ-0205</t>
  </si>
  <si>
    <t>Integração de Dados 399</t>
  </si>
  <si>
    <t>PRJ-0206</t>
  </si>
  <si>
    <t>Revisão de Operações 560</t>
  </si>
  <si>
    <t>PRJ-0207</t>
  </si>
  <si>
    <t>Otimização de Supply 478</t>
  </si>
  <si>
    <t>Iniciativa para reduzir custos em supply.</t>
  </si>
  <si>
    <t>PRJ-0208</t>
  </si>
  <si>
    <t>Modernização de Dados 164</t>
  </si>
  <si>
    <t>PRJ-0209</t>
  </si>
  <si>
    <t>Revisão de RH 247</t>
  </si>
  <si>
    <t>PRJ-0210</t>
  </si>
  <si>
    <t>Padronização de Processos 304</t>
  </si>
  <si>
    <t>PRJ-0211</t>
  </si>
  <si>
    <t>Expansão de Plataforma 765</t>
  </si>
  <si>
    <t>Iniciativa para reduzir custos em plataforma.</t>
  </si>
  <si>
    <t>PRJ-0212</t>
  </si>
  <si>
    <t>Otimização de Financeiro 690</t>
  </si>
  <si>
    <t>PRJ-0213</t>
  </si>
  <si>
    <t>Expansão de Processos 486</t>
  </si>
  <si>
    <t>Iniciativa para reduzir conformidade em processos.</t>
  </si>
  <si>
    <t>PRJ-0214</t>
  </si>
  <si>
    <t>Expansão de Dados 561</t>
  </si>
  <si>
    <t>Iniciativa para melhorar qualidade em dados.</t>
  </si>
  <si>
    <t>PRJ-0215</t>
  </si>
  <si>
    <t>Padronização de Dados 075</t>
  </si>
  <si>
    <t>PRJ-0216</t>
  </si>
  <si>
    <t>Implantação de Operações 157</t>
  </si>
  <si>
    <t>Iniciativa para integrar conformidade em operações.</t>
  </si>
  <si>
    <t>PRJ-0217</t>
  </si>
  <si>
    <t>Revisão de Atendimento 499</t>
  </si>
  <si>
    <t>PRJ-0218</t>
  </si>
  <si>
    <t>Expansão de Operações 218</t>
  </si>
  <si>
    <t>Iniciativa para melhorar conformidade em operações.</t>
  </si>
  <si>
    <t>PRJ-0219</t>
  </si>
  <si>
    <t>Automação de Dados 144</t>
  </si>
  <si>
    <t>PRJ-0220</t>
  </si>
  <si>
    <t>Padronização de RH 903</t>
  </si>
  <si>
    <t>PRJ-0221</t>
  </si>
  <si>
    <t>Implantação de Financeiro 997</t>
  </si>
  <si>
    <t>PRJ-0222</t>
  </si>
  <si>
    <t>Automação de Relatórios 371</t>
  </si>
  <si>
    <t>Iniciativa para integrar custos em relatórios.</t>
  </si>
  <si>
    <t>PRJ-0223</t>
  </si>
  <si>
    <t>Otimização de Operações 151</t>
  </si>
  <si>
    <t>PRJ-0224</t>
  </si>
  <si>
    <t>Automação de Operações 841</t>
  </si>
  <si>
    <t>Iniciativa para reduzir conformidade em operações.</t>
  </si>
  <si>
    <t>PRJ-0225</t>
  </si>
  <si>
    <t>Expansão de Relatórios 621</t>
  </si>
  <si>
    <t>Iniciativa para melhorar tempo de ciclo em relatórios.</t>
  </si>
  <si>
    <t>PRJ-0226</t>
  </si>
  <si>
    <t>Revisão de Processos 715</t>
  </si>
  <si>
    <t>PRJ-0227</t>
  </si>
  <si>
    <t>Expansão de Atendimento 194</t>
  </si>
  <si>
    <t>Iniciativa para melhorar custos em atendimento.</t>
  </si>
  <si>
    <t>PRJ-0228</t>
  </si>
  <si>
    <t>Implantação de Financeiro 774</t>
  </si>
  <si>
    <t>Iniciativa para reduzir visibilidade em financeiro.</t>
  </si>
  <si>
    <t>PRJ-0229</t>
  </si>
  <si>
    <t>Automação de Plataforma 220</t>
  </si>
  <si>
    <t>Iniciativa para integrar visibilidade em plataforma.</t>
  </si>
  <si>
    <t>PRJ-0230</t>
  </si>
  <si>
    <t>Expansão de Financeiro 629</t>
  </si>
  <si>
    <t>PRJ-0231</t>
  </si>
  <si>
    <t>Automação de Processos 369</t>
  </si>
  <si>
    <t>PRJ-0232</t>
  </si>
  <si>
    <t>Revisão de Supply 987</t>
  </si>
  <si>
    <t>PRJ-0233</t>
  </si>
  <si>
    <t>Implantação de RH 990</t>
  </si>
  <si>
    <t>Iniciativa para padronizar conformidade em rh.</t>
  </si>
  <si>
    <t>PRJ-0234</t>
  </si>
  <si>
    <t>Expansão de Supply 529</t>
  </si>
  <si>
    <t>PRJ-0235</t>
  </si>
  <si>
    <t>Integração de Segurança 754</t>
  </si>
  <si>
    <t>Iniciativa para reduzir qualidade em segurança.</t>
  </si>
  <si>
    <t>PRJ-0236</t>
  </si>
  <si>
    <t>Revisão de RH 920</t>
  </si>
  <si>
    <t>PRJ-0237</t>
  </si>
  <si>
    <t>Automação de RH 124</t>
  </si>
  <si>
    <t>PRJ-0238</t>
  </si>
  <si>
    <t>Automação de RH 435</t>
  </si>
  <si>
    <t>Iniciativa para reduzir visibilidade em rh.</t>
  </si>
  <si>
    <t>PRJ-0239</t>
  </si>
  <si>
    <t>Automação de Relatórios 485</t>
  </si>
  <si>
    <t>PRJ-0240</t>
  </si>
  <si>
    <t>Automação de Processos 221</t>
  </si>
  <si>
    <t>Iniciativa para aumentar visibilidade em processos.</t>
  </si>
  <si>
    <t>PRJ-0241</t>
  </si>
  <si>
    <t>Automação de Atendimento 364</t>
  </si>
  <si>
    <t>Iniciativa para aumentar conformidade em atendimento.</t>
  </si>
  <si>
    <t>PRJ-0242</t>
  </si>
  <si>
    <t>Automação de Supply 234</t>
  </si>
  <si>
    <t>PRJ-0243</t>
  </si>
  <si>
    <t>Implantação de Plataforma 216</t>
  </si>
  <si>
    <t>Iniciativa para reduzir visibilidade em plataforma.</t>
  </si>
  <si>
    <t>PRJ-0244</t>
  </si>
  <si>
    <t>Integração de Segurança 756</t>
  </si>
  <si>
    <t>Iniciativa para aumentar visibilidade em segurança.</t>
  </si>
  <si>
    <t>PRJ-0245</t>
  </si>
  <si>
    <t>Padronização de Operações 446</t>
  </si>
  <si>
    <t>PRJ-0246</t>
  </si>
  <si>
    <t>Padronização de Dados 009</t>
  </si>
  <si>
    <t>PRJ-0247</t>
  </si>
  <si>
    <t>Integração de Atendimento 082</t>
  </si>
  <si>
    <t>Iniciativa para padronizar tempo de ciclo em atendimento.</t>
  </si>
  <si>
    <t>PRJ-0248</t>
  </si>
  <si>
    <t>Integração de Supply 020</t>
  </si>
  <si>
    <t>PRJ-0249</t>
  </si>
  <si>
    <t>Padronização de Processos 339</t>
  </si>
  <si>
    <t>Iniciativa para melhorar tempo de ciclo em processos.</t>
  </si>
  <si>
    <t>PRJ-0250</t>
  </si>
  <si>
    <t>Padronização de Plataforma 534</t>
  </si>
  <si>
    <t>PRJ-0251</t>
  </si>
  <si>
    <t>Integração de Financeiro 333</t>
  </si>
  <si>
    <t>PRJ-0252</t>
  </si>
  <si>
    <t>Revisão de Relatórios 719</t>
  </si>
  <si>
    <t>PRJ-0253</t>
  </si>
  <si>
    <t>Padronização de Dados 302</t>
  </si>
  <si>
    <t>Iniciativa para integrar visibilidade em dados.</t>
  </si>
  <si>
    <t>PRJ-0254</t>
  </si>
  <si>
    <t>Expansão de Relatórios 905</t>
  </si>
  <si>
    <t>Iniciativa para melhorar conformidade em relatórios.</t>
  </si>
  <si>
    <t>PRJ-0255</t>
  </si>
  <si>
    <t>Modernização de Processos 856</t>
  </si>
  <si>
    <t>Iniciativa para reduzir tempo de ciclo em processos.</t>
  </si>
  <si>
    <t>PRJ-0256</t>
  </si>
  <si>
    <t>Integração de RH 951</t>
  </si>
  <si>
    <t>Iniciativa para melhorar visibilidade em rh.</t>
  </si>
  <si>
    <t>PRJ-0257</t>
  </si>
  <si>
    <t>Modernização de Segurança 545</t>
  </si>
  <si>
    <t>PRJ-0258</t>
  </si>
  <si>
    <t>Automação de Dados 412</t>
  </si>
  <si>
    <t>PRJ-0259</t>
  </si>
  <si>
    <t>Implantação de Supply 985</t>
  </si>
  <si>
    <t>PRJ-0260</t>
  </si>
  <si>
    <t>Automação de Plataforma 039</t>
  </si>
  <si>
    <t>PRJ-0261</t>
  </si>
  <si>
    <t>Modernização de Operações 658</t>
  </si>
  <si>
    <t>PRJ-0262</t>
  </si>
  <si>
    <t>Implantação de Dados 043</t>
  </si>
  <si>
    <t>PRJ-0263</t>
  </si>
  <si>
    <t>Revisão de Plataforma 488</t>
  </si>
  <si>
    <t>PRJ-0264</t>
  </si>
  <si>
    <t>Integração de Segurança 074</t>
  </si>
  <si>
    <t>PRJ-0265</t>
  </si>
  <si>
    <t>Automação de RH 046</t>
  </si>
  <si>
    <t>Iniciativa para reduzir tempo de ciclo em rh.</t>
  </si>
  <si>
    <t>PRJ-0266</t>
  </si>
  <si>
    <t>Revisão de Segurança 758</t>
  </si>
  <si>
    <t>Iniciativa para integrar tempo de ciclo em segurança.</t>
  </si>
  <si>
    <t>PRJ-0267</t>
  </si>
  <si>
    <t>Otimização de Plataforma 398</t>
  </si>
  <si>
    <t>PRJ-0268</t>
  </si>
  <si>
    <t>Otimização de Processos 254</t>
  </si>
  <si>
    <t>Iniciativa para integrar qualidade em processos.</t>
  </si>
  <si>
    <t>PRJ-0269</t>
  </si>
  <si>
    <t>Implantação de Segurança 156</t>
  </si>
  <si>
    <t>PRJ-0270</t>
  </si>
  <si>
    <t>Automação de Segurança 669</t>
  </si>
  <si>
    <t>Iniciativa para reduzir conformidade em segurança.</t>
  </si>
  <si>
    <t>PRJ-0271</t>
  </si>
  <si>
    <t>Revisão de Relatórios 745</t>
  </si>
  <si>
    <t>Iniciativa para melhorar qualidade em relatórios.</t>
  </si>
  <si>
    <t>PRJ-0272</t>
  </si>
  <si>
    <t>Integração de Operações 238</t>
  </si>
  <si>
    <t>Iniciativa para reduzir custos em operações.</t>
  </si>
  <si>
    <t>PRJ-0273</t>
  </si>
  <si>
    <t>Otimização de Atendimento 974</t>
  </si>
  <si>
    <t>PRJ-0274</t>
  </si>
  <si>
    <t>Otimização de Dados 112</t>
  </si>
  <si>
    <t>PRJ-0275</t>
  </si>
  <si>
    <t>Automação de Financeiro 302</t>
  </si>
  <si>
    <t>Iniciativa para integrar custos em financeiro.</t>
  </si>
  <si>
    <t>PRJ-0276</t>
  </si>
  <si>
    <t>Integração de RH 093</t>
  </si>
  <si>
    <t>Iniciativa para aumentar qualidade em rh.</t>
  </si>
  <si>
    <t>PRJ-0277</t>
  </si>
  <si>
    <t>Automação de Relatórios 890</t>
  </si>
  <si>
    <t>Iniciativa para reduzir tempo de ciclo em relatórios.</t>
  </si>
  <si>
    <t>PRJ-0278</t>
  </si>
  <si>
    <t>Otimização de Operações 904</t>
  </si>
  <si>
    <t>PRJ-0279</t>
  </si>
  <si>
    <t>Automação de Processos 684</t>
  </si>
  <si>
    <t>Iniciativa para integrar conformidade em processos.</t>
  </si>
  <si>
    <t>PRJ-0280</t>
  </si>
  <si>
    <t>Implantação de Supply 378</t>
  </si>
  <si>
    <t>Iniciativa para padronizar custos em supply.</t>
  </si>
  <si>
    <t>PRJ-0281</t>
  </si>
  <si>
    <t>Padronização de Operações 957</t>
  </si>
  <si>
    <t>Iniciativa para aumentar visibilidade em operações.</t>
  </si>
  <si>
    <t>PRJ-0282</t>
  </si>
  <si>
    <t>Otimização de Plataforma 025</t>
  </si>
  <si>
    <t>Iniciativa para padronizar custos em plataforma.</t>
  </si>
  <si>
    <t>PRJ-0283</t>
  </si>
  <si>
    <t>Revisão de Processos 117</t>
  </si>
  <si>
    <t>PRJ-0284</t>
  </si>
  <si>
    <t>Padronização de Financeiro 951</t>
  </si>
  <si>
    <t>PRJ-0285</t>
  </si>
  <si>
    <t>Expansão de Relatórios 610</t>
  </si>
  <si>
    <t>PRJ-0286</t>
  </si>
  <si>
    <t>Otimização de RH 927</t>
  </si>
  <si>
    <t>PRJ-0287</t>
  </si>
  <si>
    <t>Otimização de Atendimento 955</t>
  </si>
  <si>
    <t>PRJ-0288</t>
  </si>
  <si>
    <t>Implantação de Dados 327</t>
  </si>
  <si>
    <t>PRJ-0289</t>
  </si>
  <si>
    <t>Automação de Plataforma 319</t>
  </si>
  <si>
    <t>PRJ-0290</t>
  </si>
  <si>
    <t>Revisão de Atendimento 341</t>
  </si>
  <si>
    <t>Iniciativa para reduzir conformidade em atendimento.</t>
  </si>
  <si>
    <t>PRJ-0291</t>
  </si>
  <si>
    <t>Revisão de Financeiro 188</t>
  </si>
  <si>
    <t>Iniciativa para aumentar qualidade em financeiro.</t>
  </si>
  <si>
    <t>PRJ-0292</t>
  </si>
  <si>
    <t>Modernização de Atendimento 546</t>
  </si>
  <si>
    <t>Iniciativa para padronizar visibilidade em atendimento.</t>
  </si>
  <si>
    <t>PRJ-0293</t>
  </si>
  <si>
    <t>Integração de Relatórios 679</t>
  </si>
  <si>
    <t>PRJ-0294</t>
  </si>
  <si>
    <t>Padronização de Processos 093</t>
  </si>
  <si>
    <t>PRJ-0295</t>
  </si>
  <si>
    <t>Iniciativa para melhorar conformidade em plataforma.</t>
  </si>
  <si>
    <t>PRJ-0296</t>
  </si>
  <si>
    <t>Revisão de Financeiro 416</t>
  </si>
  <si>
    <t>PRJ-0297</t>
  </si>
  <si>
    <t>Expansão de Relatórios 087</t>
  </si>
  <si>
    <t>PRJ-0298</t>
  </si>
  <si>
    <t>Expansão de Dados 591</t>
  </si>
  <si>
    <t>PRJ-0299</t>
  </si>
  <si>
    <t>Integração de RH 646</t>
  </si>
  <si>
    <t>Iniciativa para melhorar conformidade em rh.</t>
  </si>
  <si>
    <t>PRJ-0300</t>
  </si>
  <si>
    <t>Otimização de Operações 768</t>
  </si>
  <si>
    <t>PRJ-0301</t>
  </si>
  <si>
    <t>Automação de Operações 288</t>
  </si>
  <si>
    <t>Iniciativa para aumentar qualidade em operações.</t>
  </si>
  <si>
    <t>PRJ-0302</t>
  </si>
  <si>
    <t>Automação de Operações 957</t>
  </si>
  <si>
    <t>PRJ-0303</t>
  </si>
  <si>
    <t>Integração de Financeiro 700</t>
  </si>
  <si>
    <t>PRJ-0304</t>
  </si>
  <si>
    <t>Implantação de Supply 277</t>
  </si>
  <si>
    <t>PRJ-0305</t>
  </si>
  <si>
    <t>Modernização de Dados 107</t>
  </si>
  <si>
    <t>PRJ-0306</t>
  </si>
  <si>
    <t>Expansão de Operações 823</t>
  </si>
  <si>
    <t>PRJ-0307</t>
  </si>
  <si>
    <t>Expansão de Supply 062</t>
  </si>
  <si>
    <t>PRJ-0308</t>
  </si>
  <si>
    <t>Implantação de Plataforma 036</t>
  </si>
  <si>
    <t>PRJ-0309</t>
  </si>
  <si>
    <t>Padronização de RH 447</t>
  </si>
  <si>
    <t>PRJ-0310</t>
  </si>
  <si>
    <t>Revisão de Plataforma 862</t>
  </si>
  <si>
    <t>PRJ-0311</t>
  </si>
  <si>
    <t>Otimização de Segurança 026</t>
  </si>
  <si>
    <t>PRJ-0312</t>
  </si>
  <si>
    <t>Padronização de Dados 153</t>
  </si>
  <si>
    <t>PRJ-0313</t>
  </si>
  <si>
    <t>Automação de Operações 066</t>
  </si>
  <si>
    <t>PRJ-0314</t>
  </si>
  <si>
    <t>Automação de Supply 065</t>
  </si>
  <si>
    <t>PRJ-0315</t>
  </si>
  <si>
    <t>Otimização de Relatórios 949</t>
  </si>
  <si>
    <t>PRJ-0316</t>
  </si>
  <si>
    <t>Automação de RH 627</t>
  </si>
  <si>
    <t>Iniciativa para melhorar qualidade em rh.</t>
  </si>
  <si>
    <t>PRJ-0317</t>
  </si>
  <si>
    <t>Integração de Plataforma 816</t>
  </si>
  <si>
    <t>PRJ-0318</t>
  </si>
  <si>
    <t>Otimização de RH 528</t>
  </si>
  <si>
    <t>PRJ-0319</t>
  </si>
  <si>
    <t>Modernização de RH 600</t>
  </si>
  <si>
    <t>PRJ-0320</t>
  </si>
  <si>
    <t>Implantação de Relatórios 114</t>
  </si>
  <si>
    <t>PRJ-0321</t>
  </si>
  <si>
    <t>Padronização de RH 286</t>
  </si>
  <si>
    <t>PRJ-0322</t>
  </si>
  <si>
    <t>Expansão de Dados 404</t>
  </si>
  <si>
    <t>PRJ-0323</t>
  </si>
  <si>
    <t>Padronização de Operações 766</t>
  </si>
  <si>
    <t>Iniciativa para integrar custos em operações.</t>
  </si>
  <si>
    <t>PRJ-0324</t>
  </si>
  <si>
    <t>Implantação de Operações 556</t>
  </si>
  <si>
    <t>PRJ-0325</t>
  </si>
  <si>
    <t>Modernização de Dados 727</t>
  </si>
  <si>
    <t>Iniciativa para reduzir tempo de ciclo em dados.</t>
  </si>
  <si>
    <t>PRJ-0326</t>
  </si>
  <si>
    <t>Otimização de Plataforma 382</t>
  </si>
  <si>
    <t>Iniciativa para aumentar visibilidade em plataforma.</t>
  </si>
  <si>
    <t>PRJ-0327</t>
  </si>
  <si>
    <t>Implantação de Plataforma 112</t>
  </si>
  <si>
    <t>PRJ-0328</t>
  </si>
  <si>
    <t>Integração de Plataforma 023</t>
  </si>
  <si>
    <t>PRJ-0329</t>
  </si>
  <si>
    <t>Implantação de Segurança 496</t>
  </si>
  <si>
    <t>PRJ-0330</t>
  </si>
  <si>
    <t>Padronização de Atendimento 379</t>
  </si>
  <si>
    <t>PRJ-0331</t>
  </si>
  <si>
    <t>Automação de Processos 994</t>
  </si>
  <si>
    <t>PRJ-0332</t>
  </si>
  <si>
    <t>Modernização de Atendimento 026</t>
  </si>
  <si>
    <t>PRJ-0333</t>
  </si>
  <si>
    <t>Expansão de Segurança 503</t>
  </si>
  <si>
    <t>Iniciativa para aumentar conformidade em segurança.</t>
  </si>
  <si>
    <t>PRJ-0334</t>
  </si>
  <si>
    <t>Padronização de Financeiro 823</t>
  </si>
  <si>
    <t>PRJ-0335</t>
  </si>
  <si>
    <t>Expansão de Atendimento 425</t>
  </si>
  <si>
    <t>PRJ-0336</t>
  </si>
  <si>
    <t>Implantação de Atendimento 979</t>
  </si>
  <si>
    <t>PRJ-0337</t>
  </si>
  <si>
    <t>Padronização de Plataforma 383</t>
  </si>
  <si>
    <t>PRJ-0338</t>
  </si>
  <si>
    <t>Modernização de Dados 199</t>
  </si>
  <si>
    <t>Iniciativa para reduzir custos em dados.</t>
  </si>
  <si>
    <t>PRJ-0339</t>
  </si>
  <si>
    <t>Automação de Dados 289</t>
  </si>
  <si>
    <t>Iniciativa para aumentar visibilidade em dados.</t>
  </si>
  <si>
    <t>PRJ-0340</t>
  </si>
  <si>
    <t>Padronização de Supply 320</t>
  </si>
  <si>
    <t>PRJ-0341</t>
  </si>
  <si>
    <t>Modernização de Plataforma 020</t>
  </si>
  <si>
    <t>Iniciativa para padronizar visibilidade em plataforma.</t>
  </si>
  <si>
    <t>PRJ-0342</t>
  </si>
  <si>
    <t>Integração de Operações 923</t>
  </si>
  <si>
    <t>Iniciativa para reduzir tempo de ciclo em operações.</t>
  </si>
  <si>
    <t>PRJ-0343</t>
  </si>
  <si>
    <t>Otimização de Dados 223</t>
  </si>
  <si>
    <t>Iniciativa para reduzir qualidade em dados.</t>
  </si>
  <si>
    <t>PRJ-0344</t>
  </si>
  <si>
    <t>Expansão de Segurança 527</t>
  </si>
  <si>
    <t>Iniciativa para reduzir visibilidade em segurança.</t>
  </si>
  <si>
    <t>PRJ-0345</t>
  </si>
  <si>
    <t>Implantação de RH 232</t>
  </si>
  <si>
    <t>PRJ-0346</t>
  </si>
  <si>
    <t>Automação de Financeiro 411</t>
  </si>
  <si>
    <t>PRJ-0347</t>
  </si>
  <si>
    <t>Expansão de Supply 488</t>
  </si>
  <si>
    <t>PRJ-0348</t>
  </si>
  <si>
    <t>Otimização de Relatórios 392</t>
  </si>
  <si>
    <t>Iniciativa para integrar qualidade em relatórios.</t>
  </si>
  <si>
    <t>PRJ-0349</t>
  </si>
  <si>
    <t>Otimização de Processos 441</t>
  </si>
  <si>
    <t>PRJ-0350</t>
  </si>
  <si>
    <t>Modernização de Operações 692</t>
  </si>
  <si>
    <t>Iniciativa para padronizar conformidade em operações.</t>
  </si>
  <si>
    <t>PRJ-0351</t>
  </si>
  <si>
    <t>Otimização de Relatórios 858</t>
  </si>
  <si>
    <t>PRJ-0352</t>
  </si>
  <si>
    <t>Modernização de Atendimento 118</t>
  </si>
  <si>
    <t>Iniciativa para aumentar tempo de ciclo em atendimento.</t>
  </si>
  <si>
    <t>PRJ-0353</t>
  </si>
  <si>
    <t>PRJ-0354</t>
  </si>
  <si>
    <t>Modernização de Operações 098</t>
  </si>
  <si>
    <t>Iniciativa para integrar qualidade em operações.</t>
  </si>
  <si>
    <t>PRJ-0355</t>
  </si>
  <si>
    <t>Padronização de Dados 185</t>
  </si>
  <si>
    <t>Iniciativa para melhorar conformidade em dados.</t>
  </si>
  <si>
    <t>PRJ-0356</t>
  </si>
  <si>
    <t>Implantação de Financeiro 421</t>
  </si>
  <si>
    <t>Iniciativa para aumentar custos em financeiro.</t>
  </si>
  <si>
    <t>PRJ-0357</t>
  </si>
  <si>
    <t>Padronização de Dados 447</t>
  </si>
  <si>
    <t>PRJ-0358</t>
  </si>
  <si>
    <t>Implantação de Plataforma 923</t>
  </si>
  <si>
    <t>PRJ-0359</t>
  </si>
  <si>
    <t>Revisão de Supply 853</t>
  </si>
  <si>
    <t>PRJ-0360</t>
  </si>
  <si>
    <t>Expansão de RH 700</t>
  </si>
  <si>
    <t>PRJ-0361</t>
  </si>
  <si>
    <t>Implantação de Supply 925</t>
  </si>
  <si>
    <t>PRJ-0362</t>
  </si>
  <si>
    <t>Expansão de Processos 281</t>
  </si>
  <si>
    <t>PRJ-0363</t>
  </si>
  <si>
    <t>Otimização de Processos 657</t>
  </si>
  <si>
    <t>Iniciativa para reduzir visibilidade em processos.</t>
  </si>
  <si>
    <t>PRJ-0364</t>
  </si>
  <si>
    <t>Automação de Operações 847</t>
  </si>
  <si>
    <t>PRJ-0365</t>
  </si>
  <si>
    <t>Expansão de Operações 440</t>
  </si>
  <si>
    <t>PRJ-0366</t>
  </si>
  <si>
    <t>Padronização de Financeiro 134</t>
  </si>
  <si>
    <t>Iniciativa para padronizar tempo de ciclo em financeiro.</t>
  </si>
  <si>
    <t>PRJ-0367</t>
  </si>
  <si>
    <t>Padronização de Plataforma 011</t>
  </si>
  <si>
    <t>PRJ-0368</t>
  </si>
  <si>
    <t>Otimização de Processos 260</t>
  </si>
  <si>
    <t>PRJ-0369</t>
  </si>
  <si>
    <t>Expansão de Relatórios 267</t>
  </si>
  <si>
    <t>PRJ-0370</t>
  </si>
  <si>
    <t>Padronização de Relatórios 570</t>
  </si>
  <si>
    <t>PRJ-0371</t>
  </si>
  <si>
    <t>Padronização de RH 116</t>
  </si>
  <si>
    <t>PRJ-0372</t>
  </si>
  <si>
    <t>Expansão de Plataforma 253</t>
  </si>
  <si>
    <t>PRJ-0373</t>
  </si>
  <si>
    <t>Implantação de Operações 674</t>
  </si>
  <si>
    <t>Iniciativa para melhorar qualidade em operações.</t>
  </si>
  <si>
    <t>PRJ-0374</t>
  </si>
  <si>
    <t>Expansão de Atendimento 183</t>
  </si>
  <si>
    <t>Iniciativa para reduzir visibilidade em atendimento.</t>
  </si>
  <si>
    <t>PRJ-0375</t>
  </si>
  <si>
    <t>Revisão de Plataforma 853</t>
  </si>
  <si>
    <t>PRJ-0376</t>
  </si>
  <si>
    <t>Padronização de Segurança 664</t>
  </si>
  <si>
    <t>PRJ-0377</t>
  </si>
  <si>
    <t>Otimização de Dados 111</t>
  </si>
  <si>
    <t>PRJ-0378</t>
  </si>
  <si>
    <t>Otimização de Plataforma 427</t>
  </si>
  <si>
    <t>PRJ-0379</t>
  </si>
  <si>
    <t>Automação de RH 472</t>
  </si>
  <si>
    <t>PRJ-0380</t>
  </si>
  <si>
    <t>Integração de Processos 215</t>
  </si>
  <si>
    <t>Iniciativa para padronizar tempo de ciclo em processos.</t>
  </si>
  <si>
    <t>PRJ-0381</t>
  </si>
  <si>
    <t>Padronização de Processos 881</t>
  </si>
  <si>
    <t>PRJ-0382</t>
  </si>
  <si>
    <t>Otimização de RH 410</t>
  </si>
  <si>
    <t>PRJ-0383</t>
  </si>
  <si>
    <t>Expansão de Processos 166</t>
  </si>
  <si>
    <t>PRJ-0384</t>
  </si>
  <si>
    <t>Revisão de RH 819</t>
  </si>
  <si>
    <t>Iniciativa para reduzir conformidade em rh.</t>
  </si>
  <si>
    <t>PRJ-0385</t>
  </si>
  <si>
    <t>Otimização de Processos 368</t>
  </si>
  <si>
    <t>PRJ-0386</t>
  </si>
  <si>
    <t>Otimização de Dados 274</t>
  </si>
  <si>
    <t>PRJ-0387</t>
  </si>
  <si>
    <t>Automação de Atendimento 726</t>
  </si>
  <si>
    <t>PRJ-0388</t>
  </si>
  <si>
    <t>Modernização de Atendimento 382</t>
  </si>
  <si>
    <t>Iniciativa para padronizar qualidade em atendimento.</t>
  </si>
  <si>
    <t>PRJ-0389</t>
  </si>
  <si>
    <t>Modernização de Plataforma 347</t>
  </si>
  <si>
    <t>PRJ-0390</t>
  </si>
  <si>
    <t>Revisão de Supply 009</t>
  </si>
  <si>
    <t>Iniciativa para aumentar conformidade em supply.</t>
  </si>
  <si>
    <t>PRJ-0391</t>
  </si>
  <si>
    <t>Modernização de Processos 551</t>
  </si>
  <si>
    <t>PRJ-0392</t>
  </si>
  <si>
    <t>Otimização de Supply 266</t>
  </si>
  <si>
    <t>Iniciativa para integrar qualidade em supply.</t>
  </si>
  <si>
    <t>PRJ-0393</t>
  </si>
  <si>
    <t>Automação de Financeiro 533</t>
  </si>
  <si>
    <t>PRJ-0394</t>
  </si>
  <si>
    <t>Expansão de Operações 573</t>
  </si>
  <si>
    <t>PRJ-0395</t>
  </si>
  <si>
    <t>Modernização de Segurança 467</t>
  </si>
  <si>
    <t>Iniciativa para padronizar custos em segurança.</t>
  </si>
  <si>
    <t>PRJ-0396</t>
  </si>
  <si>
    <t>Padronização de Processos 811</t>
  </si>
  <si>
    <t>PRJ-0397</t>
  </si>
  <si>
    <t>Padronização de Supply 801</t>
  </si>
  <si>
    <t>PRJ-0398</t>
  </si>
  <si>
    <t>Revisão de Dados 047</t>
  </si>
  <si>
    <t>PRJ-0399</t>
  </si>
  <si>
    <t>Integração de RH 515</t>
  </si>
  <si>
    <t>PRJ-0400</t>
  </si>
  <si>
    <t>Expansão de Relatórios 425</t>
  </si>
  <si>
    <t>PRJ-0401</t>
  </si>
  <si>
    <t>Revisão de Relatórios 028</t>
  </si>
  <si>
    <t>PRJ-0402</t>
  </si>
  <si>
    <t>Revisão de RH 567</t>
  </si>
  <si>
    <t>PRJ-0403</t>
  </si>
  <si>
    <t>Automação de Supply 554</t>
  </si>
  <si>
    <t>PRJ-0404</t>
  </si>
  <si>
    <t>Expansão de Supply 863</t>
  </si>
  <si>
    <t>PRJ-0405</t>
  </si>
  <si>
    <t>Revisão de Atendimento 771</t>
  </si>
  <si>
    <t>PRJ-0406</t>
  </si>
  <si>
    <t>Padronização de Financeiro 552</t>
  </si>
  <si>
    <t>PRJ-0407</t>
  </si>
  <si>
    <t>Revisão de Segurança 456</t>
  </si>
  <si>
    <t>Iniciativa para melhorar tempo de ciclo em segurança.</t>
  </si>
  <si>
    <t>PRJ-0408</t>
  </si>
  <si>
    <t>Integração de Processos 201</t>
  </si>
  <si>
    <t>PRJ-0409</t>
  </si>
  <si>
    <t>Implantação de Segurança 869</t>
  </si>
  <si>
    <t>PRJ-0410</t>
  </si>
  <si>
    <t>Padronização de Supply 530</t>
  </si>
  <si>
    <t>PRJ-0411</t>
  </si>
  <si>
    <t>Integração de Segurança 169</t>
  </si>
  <si>
    <t>PRJ-0412</t>
  </si>
  <si>
    <t>Modernização de Operações 635</t>
  </si>
  <si>
    <t>PRJ-0413</t>
  </si>
  <si>
    <t>Otimização de Dados 054</t>
  </si>
  <si>
    <t>PRJ-0414</t>
  </si>
  <si>
    <t>Revisão de Operações 198</t>
  </si>
  <si>
    <t>PRJ-0415</t>
  </si>
  <si>
    <t>Otimização de Relatórios 320</t>
  </si>
  <si>
    <t>Iniciativa para integrar visibilidade em relatórios.</t>
  </si>
  <si>
    <t>PRJ-0416</t>
  </si>
  <si>
    <t>Integração de Dados 839</t>
  </si>
  <si>
    <t>PRJ-0417</t>
  </si>
  <si>
    <t>Expansão de Supply 167</t>
  </si>
  <si>
    <t>Iniciativa para melhorar visibilidade em supply.</t>
  </si>
  <si>
    <t>PRJ-0418</t>
  </si>
  <si>
    <t>Revisão de Processos 076</t>
  </si>
  <si>
    <t>PRJ-0419</t>
  </si>
  <si>
    <t>Integração de Relatórios 201</t>
  </si>
  <si>
    <t>PRJ-0420</t>
  </si>
  <si>
    <t>Modernização de Plataforma 148</t>
  </si>
  <si>
    <t>PRJ-0421</t>
  </si>
  <si>
    <t>Otimização de Atendimento 894</t>
  </si>
  <si>
    <t>PRJ-0422</t>
  </si>
  <si>
    <t>Padronização de RH 486</t>
  </si>
  <si>
    <t>Iniciativa para aumentar conformidade em rh.</t>
  </si>
  <si>
    <t>PRJ-0423</t>
  </si>
  <si>
    <t>Automação de Plataforma 303</t>
  </si>
  <si>
    <t>Iniciativa para padronizar conformidade em plataforma.</t>
  </si>
  <si>
    <t>PRJ-0424</t>
  </si>
  <si>
    <t>Implantação de Plataforma 368</t>
  </si>
  <si>
    <t>PRJ-0425</t>
  </si>
  <si>
    <t>Automação de Dados 935</t>
  </si>
  <si>
    <t>PRJ-0426</t>
  </si>
  <si>
    <t>Integração de Dados 602</t>
  </si>
  <si>
    <t>PRJ-0427</t>
  </si>
  <si>
    <t>Revisão de Supply 231</t>
  </si>
  <si>
    <t>PRJ-0428</t>
  </si>
  <si>
    <t>Expansão de Segurança 487</t>
  </si>
  <si>
    <t>Iniciativa para melhorar qualidade em segurança.</t>
  </si>
  <si>
    <t>PRJ-0429</t>
  </si>
  <si>
    <t>Integração de Atendimento 676</t>
  </si>
  <si>
    <t>PRJ-0430</t>
  </si>
  <si>
    <t>Integração de Atendimento 443</t>
  </si>
  <si>
    <t>PRJ-0431</t>
  </si>
  <si>
    <t>Padronização de RH 474</t>
  </si>
  <si>
    <t>PRJ-0432</t>
  </si>
  <si>
    <t>Automação de Operações 098</t>
  </si>
  <si>
    <t>PRJ-0433</t>
  </si>
  <si>
    <t>Revisão de Financeiro 462</t>
  </si>
  <si>
    <t>PRJ-0434</t>
  </si>
  <si>
    <t>Padronização de RH 473</t>
  </si>
  <si>
    <t>PRJ-0435</t>
  </si>
  <si>
    <t>Otimização de Atendimento 158</t>
  </si>
  <si>
    <t>PRJ-0436</t>
  </si>
  <si>
    <t>Otimização de Financeiro 786</t>
  </si>
  <si>
    <t>PRJ-0437</t>
  </si>
  <si>
    <t>Automação de Processos 426</t>
  </si>
  <si>
    <t>Iniciativa para integrar custos em processos.</t>
  </si>
  <si>
    <t>PRJ-0438</t>
  </si>
  <si>
    <t>Expansão de Segurança 470</t>
  </si>
  <si>
    <t>Iniciativa para reduzir custos em segurança.</t>
  </si>
  <si>
    <t>PRJ-0439</t>
  </si>
  <si>
    <t>Automação de Supply 180</t>
  </si>
  <si>
    <t>PRJ-0440</t>
  </si>
  <si>
    <t>Integração de Financeiro 776</t>
  </si>
  <si>
    <t>PRJ-0441</t>
  </si>
  <si>
    <t>Expansão de Atendimento 769</t>
  </si>
  <si>
    <t>Iniciativa para melhorar tempo de ciclo em atendimento.</t>
  </si>
  <si>
    <t>PRJ-0442</t>
  </si>
  <si>
    <t>Padronização de Plataforma 977</t>
  </si>
  <si>
    <t>PRJ-0443</t>
  </si>
  <si>
    <t>Integração de Atendimento 293</t>
  </si>
  <si>
    <t>PRJ-0444</t>
  </si>
  <si>
    <t>Expansão de Financeiro 875</t>
  </si>
  <si>
    <t>PRJ-0445</t>
  </si>
  <si>
    <t>Integração de Processos 014</t>
  </si>
  <si>
    <t>PRJ-0446</t>
  </si>
  <si>
    <t>Integração de Financeiro 981</t>
  </si>
  <si>
    <t>PRJ-0447</t>
  </si>
  <si>
    <t>Padronização de Relatórios 261</t>
  </si>
  <si>
    <t>PRJ-0448</t>
  </si>
  <si>
    <t>Implantação de Dados 991</t>
  </si>
  <si>
    <t>PRJ-0449</t>
  </si>
  <si>
    <t>Implantação de Processos 173</t>
  </si>
  <si>
    <t>PRJ-0450</t>
  </si>
  <si>
    <t>Padronização de Operações 834</t>
  </si>
  <si>
    <t>PRJ-0451</t>
  </si>
  <si>
    <t>Revisão de Processos 600</t>
  </si>
  <si>
    <t>PRJ-0452</t>
  </si>
  <si>
    <t>Padronização de Supply 619</t>
  </si>
  <si>
    <t>PRJ-0453</t>
  </si>
  <si>
    <t>Automação de Processos 617</t>
  </si>
  <si>
    <t>Iniciativa para melhorar conformidade em processos.</t>
  </si>
  <si>
    <t>PRJ-0454</t>
  </si>
  <si>
    <t>Padronização de Segurança 622</t>
  </si>
  <si>
    <t>PRJ-0455</t>
  </si>
  <si>
    <t>Automação de RH 816</t>
  </si>
  <si>
    <t>PRJ-0456</t>
  </si>
  <si>
    <t>Implantação de Segurança 737</t>
  </si>
  <si>
    <t>PRJ-0457</t>
  </si>
  <si>
    <t>Expansão de Segurança 229</t>
  </si>
  <si>
    <t>PRJ-0458</t>
  </si>
  <si>
    <t>Integração de Financeiro 434</t>
  </si>
  <si>
    <t>PRJ-0459</t>
  </si>
  <si>
    <t>Revisão de Atendimento 515</t>
  </si>
  <si>
    <t>PRJ-0460</t>
  </si>
  <si>
    <t>Automação de RH 745</t>
  </si>
  <si>
    <t>PRJ-0461</t>
  </si>
  <si>
    <t>Modernização de Relatórios 332</t>
  </si>
  <si>
    <t>PRJ-0462</t>
  </si>
  <si>
    <t>Expansão de Relatórios 949</t>
  </si>
  <si>
    <t>Iniciativa para melhorar custos em relatórios.</t>
  </si>
  <si>
    <t>PRJ-0463</t>
  </si>
  <si>
    <t>Expansão de Plataforma 797</t>
  </si>
  <si>
    <t>PRJ-0464</t>
  </si>
  <si>
    <t>Automação de Financeiro 496</t>
  </si>
  <si>
    <t>PRJ-0465</t>
  </si>
  <si>
    <t>Modernização de Dados 858</t>
  </si>
  <si>
    <t>PRJ-0466</t>
  </si>
  <si>
    <t>Implantação de Processos 087</t>
  </si>
  <si>
    <t>PRJ-0467</t>
  </si>
  <si>
    <t>Integração de Plataforma 679</t>
  </si>
  <si>
    <t>PRJ-0468</t>
  </si>
  <si>
    <t>Implantação de Financeiro 666</t>
  </si>
  <si>
    <t>PRJ-0469</t>
  </si>
  <si>
    <t>Automação de Financeiro 842</t>
  </si>
  <si>
    <t>PRJ-0470</t>
  </si>
  <si>
    <t>Implantação de Relatórios 890</t>
  </si>
  <si>
    <t>PRJ-0471</t>
  </si>
  <si>
    <t>Implantação de Operações 102</t>
  </si>
  <si>
    <t>PRJ-0472</t>
  </si>
  <si>
    <t>Automação de Relatórios 147</t>
  </si>
  <si>
    <t>PRJ-0473</t>
  </si>
  <si>
    <t>Implantação de Financeiro 534</t>
  </si>
  <si>
    <t>PRJ-0474</t>
  </si>
  <si>
    <t>Expansão de Dados 955</t>
  </si>
  <si>
    <t>PRJ-0475</t>
  </si>
  <si>
    <t>Otimização de Operações 460</t>
  </si>
  <si>
    <t>PRJ-0476</t>
  </si>
  <si>
    <t>Implantação de RH 301</t>
  </si>
  <si>
    <t>PRJ-0477</t>
  </si>
  <si>
    <t>Revisão de Plataforma 006</t>
  </si>
  <si>
    <t>PRJ-0478</t>
  </si>
  <si>
    <t>Implantação de Supply 439</t>
  </si>
  <si>
    <t>PRJ-0479</t>
  </si>
  <si>
    <t>Revisão de Processos 165</t>
  </si>
  <si>
    <t>PRJ-0480</t>
  </si>
  <si>
    <t>Revisão de Dados 014</t>
  </si>
  <si>
    <t>PRJ-0481</t>
  </si>
  <si>
    <t>Modernização de Atendimento 718</t>
  </si>
  <si>
    <t>PRJ-0482</t>
  </si>
  <si>
    <t>Expansão de Processos 632</t>
  </si>
  <si>
    <t>PRJ-0483</t>
  </si>
  <si>
    <t>Revisão de Financeiro 253</t>
  </si>
  <si>
    <t>PRJ-0484</t>
  </si>
  <si>
    <t>Modernização de Processos 700</t>
  </si>
  <si>
    <t>Iniciativa para integrar tempo de ciclo em processos.</t>
  </si>
  <si>
    <t>PRJ-0485</t>
  </si>
  <si>
    <t>Modernização de Processos 601</t>
  </si>
  <si>
    <t>PRJ-0486</t>
  </si>
  <si>
    <t>Revisão de Supply 460</t>
  </si>
  <si>
    <t>PRJ-0487</t>
  </si>
  <si>
    <t>Expansão de RH 702</t>
  </si>
  <si>
    <t>PRJ-0488</t>
  </si>
  <si>
    <t>Padronização de Dados 725</t>
  </si>
  <si>
    <t>PRJ-0489</t>
  </si>
  <si>
    <t>Integração de Segurança 548</t>
  </si>
  <si>
    <t>PRJ-0490</t>
  </si>
  <si>
    <t>Implantação de Relatórios 263</t>
  </si>
  <si>
    <t>PRJ-0491</t>
  </si>
  <si>
    <t>Padronização de Segurança 748</t>
  </si>
  <si>
    <t>Iniciativa para padronizar qualidade em segurança.</t>
  </si>
  <si>
    <t>PRJ-0492</t>
  </si>
  <si>
    <t>Integração de Plataforma 147</t>
  </si>
  <si>
    <t>Iniciativa para melhorar visibilidade em plataforma.</t>
  </si>
  <si>
    <t>PRJ-0493</t>
  </si>
  <si>
    <t>Integração de Plataforma 275</t>
  </si>
  <si>
    <t>PRJ-0494</t>
  </si>
  <si>
    <t>Otimização de Dados 709</t>
  </si>
  <si>
    <t>PRJ-0495</t>
  </si>
  <si>
    <t>Expansão de Plataforma 504</t>
  </si>
  <si>
    <t>PRJ-0496</t>
  </si>
  <si>
    <t>Automação de Financeiro 154</t>
  </si>
  <si>
    <t>Iniciativa para aumentar conformidade em financeiro.</t>
  </si>
  <si>
    <t>PRJ-0497</t>
  </si>
  <si>
    <t>Modernização de Operações 438</t>
  </si>
  <si>
    <t>PRJ-0498</t>
  </si>
  <si>
    <t>Padronização de Dados 547</t>
  </si>
  <si>
    <t>PRJ-0499</t>
  </si>
  <si>
    <t>Automação de Plataforma 062</t>
  </si>
  <si>
    <t>PRJ-0500</t>
  </si>
  <si>
    <t>Expansão de Supply 056</t>
  </si>
  <si>
    <t>PRJ-0501</t>
  </si>
  <si>
    <t>Implantação de RH 422</t>
  </si>
  <si>
    <t>PRJ-0502</t>
  </si>
  <si>
    <t>Implantação de Segurança 434</t>
  </si>
  <si>
    <t>PRJ-0503</t>
  </si>
  <si>
    <t>Automação de Processos 823</t>
  </si>
  <si>
    <t>PRJ-0504</t>
  </si>
  <si>
    <t>Integração de Processos 247</t>
  </si>
  <si>
    <t>PRJ-0505</t>
  </si>
  <si>
    <t>Revisão de Relatórios 720</t>
  </si>
  <si>
    <t>PRJ-0506</t>
  </si>
  <si>
    <t>Integração de Segurança 827</t>
  </si>
  <si>
    <t>Iniciativa para reduzir tempo de ciclo em segurança.</t>
  </si>
  <si>
    <t>PRJ-0507</t>
  </si>
  <si>
    <t>Padronização de Plataforma 825</t>
  </si>
  <si>
    <t>PRJ-0508</t>
  </si>
  <si>
    <t>Padronização de Atendimento 782</t>
  </si>
  <si>
    <t>PRJ-0509</t>
  </si>
  <si>
    <t>Otimização de Operações 660</t>
  </si>
  <si>
    <t>PRJ-0510</t>
  </si>
  <si>
    <t>Modernização de Relatórios 750</t>
  </si>
  <si>
    <t>PRJ-0511</t>
  </si>
  <si>
    <t>Integração de Supply 582</t>
  </si>
  <si>
    <t>PRJ-0512</t>
  </si>
  <si>
    <t>Implantação de Financeiro 084</t>
  </si>
  <si>
    <t>Iniciativa para aumentar visibilidade em financeiro.</t>
  </si>
  <si>
    <t>PRJ-0513</t>
  </si>
  <si>
    <t>Automação de Financeiro 364</t>
  </si>
  <si>
    <t>Iniciativa para integrar visibilidade em financeiro.</t>
  </si>
  <si>
    <t>PRJ-0514</t>
  </si>
  <si>
    <t>Otimização de RH 966</t>
  </si>
  <si>
    <t>PRJ-0515</t>
  </si>
  <si>
    <t>Revisão de Supply 017</t>
  </si>
  <si>
    <t>PRJ-0516</t>
  </si>
  <si>
    <t>Automação de Dados 447</t>
  </si>
  <si>
    <t>PRJ-0517</t>
  </si>
  <si>
    <t>Padronização de Dados 596</t>
  </si>
  <si>
    <t>PRJ-0518</t>
  </si>
  <si>
    <t>Revisão de Segurança 520</t>
  </si>
  <si>
    <t>PRJ-0519</t>
  </si>
  <si>
    <t>Revisão de Relatórios 983</t>
  </si>
  <si>
    <t>PRJ-0520</t>
  </si>
  <si>
    <t>Modernização de Relatórios 517</t>
  </si>
  <si>
    <t>PRJ-0521</t>
  </si>
  <si>
    <t>Otimização de Relatórios 465</t>
  </si>
  <si>
    <t>PRJ-0522</t>
  </si>
  <si>
    <t>Padronização de Operações 126</t>
  </si>
  <si>
    <t>PRJ-0523</t>
  </si>
  <si>
    <t>Revisão de RH 828</t>
  </si>
  <si>
    <t>PRJ-0524</t>
  </si>
  <si>
    <t>Otimização de Dados 024</t>
  </si>
  <si>
    <t>PRJ-0525</t>
  </si>
  <si>
    <t>Implantação de RH 764</t>
  </si>
  <si>
    <t>PRJ-0526</t>
  </si>
  <si>
    <t>Padronização de Financeiro 611</t>
  </si>
  <si>
    <t>PRJ-0527</t>
  </si>
  <si>
    <t>Expansão de Processos 118</t>
  </si>
  <si>
    <t>PRJ-0528</t>
  </si>
  <si>
    <t>Modernização de Financeiro 291</t>
  </si>
  <si>
    <t>Iniciativa para integrar tempo de ciclo em financeiro.</t>
  </si>
  <si>
    <t>PRJ-0529</t>
  </si>
  <si>
    <t>Padronização de Processos 282</t>
  </si>
  <si>
    <t>PRJ-0530</t>
  </si>
  <si>
    <t>Otimização de Supply 661</t>
  </si>
  <si>
    <t>Iniciativa para melhorar custos em supply.</t>
  </si>
  <si>
    <t>PRJ-0531</t>
  </si>
  <si>
    <t>Modernização de Supply 961</t>
  </si>
  <si>
    <t>PRJ-0532</t>
  </si>
  <si>
    <t>Otimização de Atendimento 905</t>
  </si>
  <si>
    <t>PRJ-0533</t>
  </si>
  <si>
    <t>Padronização de Plataforma 535</t>
  </si>
  <si>
    <t>PRJ-0534</t>
  </si>
  <si>
    <t>Integração de Plataforma 077</t>
  </si>
  <si>
    <t>PRJ-0535</t>
  </si>
  <si>
    <t>Modernização de Relatórios 225</t>
  </si>
  <si>
    <t>Iniciativa para aumentar visibilidade em relatórios.</t>
  </si>
  <si>
    <t>PRJ-0536</t>
  </si>
  <si>
    <t>Padronização de Relatórios 274</t>
  </si>
  <si>
    <t>PRJ-0537</t>
  </si>
  <si>
    <t>Expansão de Financeiro 199</t>
  </si>
  <si>
    <t>Iniciativa para aumentar tempo de ciclo em financeiro.</t>
  </si>
  <si>
    <t>PRJ-0538</t>
  </si>
  <si>
    <t>Integração de Plataforma 545</t>
  </si>
  <si>
    <t>PRJ-0539</t>
  </si>
  <si>
    <t>Otimização de Plataforma 190</t>
  </si>
  <si>
    <t>PRJ-0540</t>
  </si>
  <si>
    <t>Implantação de Plataforma 175</t>
  </si>
  <si>
    <t>PRJ-0541</t>
  </si>
  <si>
    <t>Implantação de Supply 464</t>
  </si>
  <si>
    <t>PRJ-0542</t>
  </si>
  <si>
    <t>Expansão de Segurança 676</t>
  </si>
  <si>
    <t>PRJ-0543</t>
  </si>
  <si>
    <t>Implantação de Supply 910</t>
  </si>
  <si>
    <t>PRJ-0544</t>
  </si>
  <si>
    <t>Modernização de Processos 511</t>
  </si>
  <si>
    <t>PRJ-0545</t>
  </si>
  <si>
    <t>Otimização de Financeiro 361</t>
  </si>
  <si>
    <t>PRJ-0546</t>
  </si>
  <si>
    <t>Integração de Processos 485</t>
  </si>
  <si>
    <t>PRJ-0547</t>
  </si>
  <si>
    <t>Automação de Financeiro 568</t>
  </si>
  <si>
    <t>PRJ-0548</t>
  </si>
  <si>
    <t>Revisão de Financeiro 478</t>
  </si>
  <si>
    <t>PRJ-0549</t>
  </si>
  <si>
    <t>Implantação de Processos 774</t>
  </si>
  <si>
    <t>PRJ-0550</t>
  </si>
  <si>
    <t>Revisão de Processos 125</t>
  </si>
  <si>
    <t>PRJ-0551</t>
  </si>
  <si>
    <t>Integração de Plataforma 069</t>
  </si>
  <si>
    <t>PRJ-0552</t>
  </si>
  <si>
    <t>Padronização de Operações 127</t>
  </si>
  <si>
    <t>PRJ-0553</t>
  </si>
  <si>
    <t>Implantação de Financeiro 396</t>
  </si>
  <si>
    <t>Iniciativa para melhorar visibilidade em financeiro.</t>
  </si>
  <si>
    <t>PRJ-0554</t>
  </si>
  <si>
    <t>Padronização de Atendimento 010</t>
  </si>
  <si>
    <t>Iniciativa para reduzir qualidade em atendimento.</t>
  </si>
  <si>
    <t>PRJ-0555</t>
  </si>
  <si>
    <t>Modernização de RH 386</t>
  </si>
  <si>
    <t>PRJ-0556</t>
  </si>
  <si>
    <t>Padronização de Supply 779</t>
  </si>
  <si>
    <t>PRJ-0557</t>
  </si>
  <si>
    <t>Padronização de Financeiro 137</t>
  </si>
  <si>
    <t>PRJ-0558</t>
  </si>
  <si>
    <t>Otimização de Relatórios 915</t>
  </si>
  <si>
    <t>PRJ-0559</t>
  </si>
  <si>
    <t>Modernização de RH 438</t>
  </si>
  <si>
    <t>PRJ-0560</t>
  </si>
  <si>
    <t>Revisão de Plataforma 894</t>
  </si>
  <si>
    <t>PRJ-0561</t>
  </si>
  <si>
    <t>Expansão de Atendimento 206</t>
  </si>
  <si>
    <t>PRJ-0562</t>
  </si>
  <si>
    <t>Modernização de Dados 491</t>
  </si>
  <si>
    <t>PRJ-0563</t>
  </si>
  <si>
    <t>Expansão de Processos 566</t>
  </si>
  <si>
    <t>PRJ-0564</t>
  </si>
  <si>
    <t>Modernização de Operações 011</t>
  </si>
  <si>
    <t>PRJ-0565</t>
  </si>
  <si>
    <t>Automação de Operações 408</t>
  </si>
  <si>
    <t>PRJ-0566</t>
  </si>
  <si>
    <t>Implantação de Supply 715</t>
  </si>
  <si>
    <t>PRJ-0567</t>
  </si>
  <si>
    <t>Automação de Processos 241</t>
  </si>
  <si>
    <t>PRJ-0568</t>
  </si>
  <si>
    <t>Integração de Financeiro 189</t>
  </si>
  <si>
    <t>PRJ-0569</t>
  </si>
  <si>
    <t>Expansão de Processos 827</t>
  </si>
  <si>
    <t>PRJ-0570</t>
  </si>
  <si>
    <t>Otimização de Atendimento 819</t>
  </si>
  <si>
    <t>PRJ-0571</t>
  </si>
  <si>
    <t>Padronização de RH 018</t>
  </si>
  <si>
    <t>PRJ-0572</t>
  </si>
  <si>
    <t>Implantação de Atendimento 266</t>
  </si>
  <si>
    <t>PRJ-0573</t>
  </si>
  <si>
    <t>Implantação de Atendimento 017</t>
  </si>
  <si>
    <t>PRJ-0574</t>
  </si>
  <si>
    <t>Automação de Processos 335</t>
  </si>
  <si>
    <t>PRJ-0575</t>
  </si>
  <si>
    <t>Revisão de Dados 733</t>
  </si>
  <si>
    <t>PRJ-0576</t>
  </si>
  <si>
    <t>Modernização de Dados 818</t>
  </si>
  <si>
    <t>PRJ-0577</t>
  </si>
  <si>
    <t>Expansão de Supply 082</t>
  </si>
  <si>
    <t>PRJ-0578</t>
  </si>
  <si>
    <t>Automação de Operações 267</t>
  </si>
  <si>
    <t>PRJ-0579</t>
  </si>
  <si>
    <t>Modernização de Relatórios 891</t>
  </si>
  <si>
    <t>PRJ-0580</t>
  </si>
  <si>
    <t>Modernização de Processos 076</t>
  </si>
  <si>
    <t>PRJ-0581</t>
  </si>
  <si>
    <t>Padronização de Financeiro 329</t>
  </si>
  <si>
    <t>PRJ-0582</t>
  </si>
  <si>
    <t>Otimização de Segurança 441</t>
  </si>
  <si>
    <t>PRJ-0583</t>
  </si>
  <si>
    <t>Implantação de Relatórios 099</t>
  </si>
  <si>
    <t>PRJ-0584</t>
  </si>
  <si>
    <t>Automação de RH 303</t>
  </si>
  <si>
    <t>PRJ-0585</t>
  </si>
  <si>
    <t>Revisão de Atendimento 465</t>
  </si>
  <si>
    <t>PRJ-0586</t>
  </si>
  <si>
    <t>Integração de Atendimento 482</t>
  </si>
  <si>
    <t>PRJ-0587</t>
  </si>
  <si>
    <t>Implantação de Operações 390</t>
  </si>
  <si>
    <t>PRJ-0588</t>
  </si>
  <si>
    <t>Modernização de Atendimento 430</t>
  </si>
  <si>
    <t>PRJ-0589</t>
  </si>
  <si>
    <t>Implantação de Atendimento 520</t>
  </si>
  <si>
    <t>PRJ-0590</t>
  </si>
  <si>
    <t>Padronização de Financeiro 227</t>
  </si>
  <si>
    <t>PRJ-0591</t>
  </si>
  <si>
    <t>Otimização de Dados 216</t>
  </si>
  <si>
    <t>PRJ-0592</t>
  </si>
  <si>
    <t>Expansão de RH 044</t>
  </si>
  <si>
    <t>PRJ-0593</t>
  </si>
  <si>
    <t>Modernização de Dados 740</t>
  </si>
  <si>
    <t>PRJ-0594</t>
  </si>
  <si>
    <t>Padronização de Financeiro 299</t>
  </si>
  <si>
    <t>Iniciativa para padronizar custos em financeiro.</t>
  </si>
  <si>
    <t>PRJ-0595</t>
  </si>
  <si>
    <t>Otimização de Financeiro 790</t>
  </si>
  <si>
    <t>PRJ-0596</t>
  </si>
  <si>
    <t>Integração de Processos 786</t>
  </si>
  <si>
    <t>Iniciativa para padronizar qualidade em processos.</t>
  </si>
  <si>
    <t>PRJ-0597</t>
  </si>
  <si>
    <t>Revisão de Segurança 330</t>
  </si>
  <si>
    <t>PRJ-0598</t>
  </si>
  <si>
    <t>Automação de Dados 499</t>
  </si>
  <si>
    <t>PRJ-0599</t>
  </si>
  <si>
    <t>Revisão de Dados 620</t>
  </si>
  <si>
    <t>PRJ-0600</t>
  </si>
  <si>
    <t>Implantação de Segurança 205</t>
  </si>
  <si>
    <t>PRJ-0601</t>
  </si>
  <si>
    <t>Implantação de Supply 640</t>
  </si>
  <si>
    <t>PRJ-0602</t>
  </si>
  <si>
    <t>Padronização de Segurança 173</t>
  </si>
  <si>
    <t>PRJ-0603</t>
  </si>
  <si>
    <t>Implantação de Dados 779</t>
  </si>
  <si>
    <t>Iniciativa para melhorar tempo de ciclo em dados.</t>
  </si>
  <si>
    <t>PRJ-0604</t>
  </si>
  <si>
    <t>Padronização de RH 712</t>
  </si>
  <si>
    <t>PRJ-0605</t>
  </si>
  <si>
    <t>Padronização de Supply 539</t>
  </si>
  <si>
    <t>PRJ-0606</t>
  </si>
  <si>
    <t>Otimização de Operações 844</t>
  </si>
  <si>
    <t>Iniciativa para melhorar visibilidade em operações.</t>
  </si>
  <si>
    <t>PRJ-0607</t>
  </si>
  <si>
    <t>Expansão de Plataforma 058</t>
  </si>
  <si>
    <t>PRJ-0608</t>
  </si>
  <si>
    <t>Otimização de Financeiro 427</t>
  </si>
  <si>
    <t>PRJ-0609</t>
  </si>
  <si>
    <t>Revisão de Plataforma 350</t>
  </si>
  <si>
    <t>PRJ-0610</t>
  </si>
  <si>
    <t>Integração de Atendimento 858</t>
  </si>
  <si>
    <t>PRJ-0611</t>
  </si>
  <si>
    <t>Padronização de Atendimento 095</t>
  </si>
  <si>
    <t>PRJ-0612</t>
  </si>
  <si>
    <t>Implantação de Segurança 351</t>
  </si>
  <si>
    <t>Iniciativa para integrar conformidade em segurança.</t>
  </si>
  <si>
    <t>PRJ-0613</t>
  </si>
  <si>
    <t>Otimização de Supply 719</t>
  </si>
  <si>
    <t>PRJ-0614</t>
  </si>
  <si>
    <t>Expansão de Financeiro 485</t>
  </si>
  <si>
    <t>PRJ-0615</t>
  </si>
  <si>
    <t>Integração de Operações 770</t>
  </si>
  <si>
    <t>PRJ-0616</t>
  </si>
  <si>
    <t>Integração de Segurança 448</t>
  </si>
  <si>
    <t>PRJ-0617</t>
  </si>
  <si>
    <t>Automação de Supply 782</t>
  </si>
  <si>
    <t>Iniciativa para reduzir visibilidade em supply.</t>
  </si>
  <si>
    <t>PRJ-0618</t>
  </si>
  <si>
    <t>Revisão de Supply 514</t>
  </si>
  <si>
    <t>PRJ-0619</t>
  </si>
  <si>
    <t>Expansão de RH 036</t>
  </si>
  <si>
    <t>PRJ-0620</t>
  </si>
  <si>
    <t>Expansão de RH 012</t>
  </si>
  <si>
    <t>PRJ-0621</t>
  </si>
  <si>
    <t>Expansão de Plataforma 154</t>
  </si>
  <si>
    <t>PRJ-0622</t>
  </si>
  <si>
    <t>Revisão de Atendimento 436</t>
  </si>
  <si>
    <t>PRJ-0623</t>
  </si>
  <si>
    <t>Modernização de Dados 097</t>
  </si>
  <si>
    <t>PRJ-0624</t>
  </si>
  <si>
    <t>Modernização de Supply 950</t>
  </si>
  <si>
    <t>PRJ-0625</t>
  </si>
  <si>
    <t>Otimização de Supply 588</t>
  </si>
  <si>
    <t>Iniciativa para padronizar tempo de ciclo em supply.</t>
  </si>
  <si>
    <t>PRJ-0626</t>
  </si>
  <si>
    <t>Automação de Atendimento 274</t>
  </si>
  <si>
    <t>PRJ-0627</t>
  </si>
  <si>
    <t>Padronização de Dados 013</t>
  </si>
  <si>
    <t>PRJ-0628</t>
  </si>
  <si>
    <t>Padronização de Dados 354</t>
  </si>
  <si>
    <t>PRJ-0629</t>
  </si>
  <si>
    <t>Implantação de Dados 762</t>
  </si>
  <si>
    <t>PRJ-0630</t>
  </si>
  <si>
    <t>Revisão de Segurança 429</t>
  </si>
  <si>
    <t>PRJ-0631</t>
  </si>
  <si>
    <t>Padronização de Relatórios 947</t>
  </si>
  <si>
    <t>PRJ-0632</t>
  </si>
  <si>
    <t>Modernização de Operações 585</t>
  </si>
  <si>
    <t>PRJ-0633</t>
  </si>
  <si>
    <t>Revisão de Segurança 180</t>
  </si>
  <si>
    <t>PRJ-0634</t>
  </si>
  <si>
    <t>Revisão de Relatórios 251</t>
  </si>
  <si>
    <t>PRJ-0635</t>
  </si>
  <si>
    <t>Padronização de Processos 300</t>
  </si>
  <si>
    <t>PRJ-0636</t>
  </si>
  <si>
    <t>Integração de RH 216</t>
  </si>
  <si>
    <t>PRJ-0637</t>
  </si>
  <si>
    <t>Automação de Relatórios 535</t>
  </si>
  <si>
    <t>PRJ-0638</t>
  </si>
  <si>
    <t>Implantação de Financeiro 264</t>
  </si>
  <si>
    <t>PRJ-0639</t>
  </si>
  <si>
    <t>Revisão de Financeiro 887</t>
  </si>
  <si>
    <t>PRJ-0640</t>
  </si>
  <si>
    <t>Padronização de RH 584</t>
  </si>
  <si>
    <t>PRJ-0641</t>
  </si>
  <si>
    <t>Integração de Atendimento 817</t>
  </si>
  <si>
    <t>PRJ-0642</t>
  </si>
  <si>
    <t>Padronização de RH 101</t>
  </si>
  <si>
    <t>PRJ-0643</t>
  </si>
  <si>
    <t>Padronização de Segurança 604</t>
  </si>
  <si>
    <t>Iniciativa para integrar visibilidade em segurança.</t>
  </si>
  <si>
    <t>PRJ-0644</t>
  </si>
  <si>
    <t>Implantação de RH 115</t>
  </si>
  <si>
    <t>PRJ-0645</t>
  </si>
  <si>
    <t>Modernização de Segurança 219</t>
  </si>
  <si>
    <t>PRJ-0646</t>
  </si>
  <si>
    <t>Automação de Supply 980</t>
  </si>
  <si>
    <t>PRJ-0647</t>
  </si>
  <si>
    <t>Expansão de Financeiro 006</t>
  </si>
  <si>
    <t>PRJ-0648</t>
  </si>
  <si>
    <t>Integração de Segurança 633</t>
  </si>
  <si>
    <t>PRJ-0649</t>
  </si>
  <si>
    <t>Implantação de Operações 601</t>
  </si>
  <si>
    <t>PRJ-0650</t>
  </si>
  <si>
    <t>Implantação de Operações 205</t>
  </si>
  <si>
    <t>PRJ-0651</t>
  </si>
  <si>
    <t>Padronização de Segurança 189</t>
  </si>
  <si>
    <t>PRJ-0652</t>
  </si>
  <si>
    <t>Revisão de Processos 580</t>
  </si>
  <si>
    <t>PRJ-0653</t>
  </si>
  <si>
    <t>Padronização de Operações 666</t>
  </si>
  <si>
    <t>PRJ-0654</t>
  </si>
  <si>
    <t>Implantação de Processos 639</t>
  </si>
  <si>
    <t>PRJ-0655</t>
  </si>
  <si>
    <t>Integração de Relatórios 212</t>
  </si>
  <si>
    <t>PRJ-0656</t>
  </si>
  <si>
    <t>Implantação de Segurança 959</t>
  </si>
  <si>
    <t>PRJ-0657</t>
  </si>
  <si>
    <t>Expansão de Operações 835</t>
  </si>
  <si>
    <t>PRJ-0658</t>
  </si>
  <si>
    <t>Implantação de Dados 115</t>
  </si>
  <si>
    <t>PRJ-0659</t>
  </si>
  <si>
    <t>Otimização de Atendimento 748</t>
  </si>
  <si>
    <t>PRJ-0660</t>
  </si>
  <si>
    <t>Expansão de Relatórios 179</t>
  </si>
  <si>
    <t>PRJ-0661</t>
  </si>
  <si>
    <t>Padronização de Processos 753</t>
  </si>
  <si>
    <t>PRJ-0662</t>
  </si>
  <si>
    <t>Padronização de Relatórios 878</t>
  </si>
  <si>
    <t>PRJ-0663</t>
  </si>
  <si>
    <t>Integração de Dados 133</t>
  </si>
  <si>
    <t>PRJ-0664</t>
  </si>
  <si>
    <t>Implantação de Relatórios 336</t>
  </si>
  <si>
    <t>PRJ-0665</t>
  </si>
  <si>
    <t>Revisão de Segurança 644</t>
  </si>
  <si>
    <t>PRJ-0666</t>
  </si>
  <si>
    <t>Padronização de Plataforma 685</t>
  </si>
  <si>
    <t>PRJ-0667</t>
  </si>
  <si>
    <t>Padronização de Financeiro 567</t>
  </si>
  <si>
    <t>PRJ-0668</t>
  </si>
  <si>
    <t>Otimização de Dados 372</t>
  </si>
  <si>
    <t>PRJ-0669</t>
  </si>
  <si>
    <t>Otimização de Financeiro 304</t>
  </si>
  <si>
    <t>PRJ-0670</t>
  </si>
  <si>
    <t>Expansão de Relatórios 148</t>
  </si>
  <si>
    <t>PRJ-0671</t>
  </si>
  <si>
    <t>Automação de Segurança 455</t>
  </si>
  <si>
    <t>PRJ-0672</t>
  </si>
  <si>
    <t>Modernização de Supply 897</t>
  </si>
  <si>
    <t>PRJ-0673</t>
  </si>
  <si>
    <t>Padronização de Financeiro 432</t>
  </si>
  <si>
    <t>PRJ-0674</t>
  </si>
  <si>
    <t>Implantação de Plataforma 800</t>
  </si>
  <si>
    <t>PRJ-0675</t>
  </si>
  <si>
    <t>Expansão de Processos 356</t>
  </si>
  <si>
    <t>PRJ-0676</t>
  </si>
  <si>
    <t>Padronização de Atendimento 368</t>
  </si>
  <si>
    <t>PRJ-0677</t>
  </si>
  <si>
    <t>Modernização de Supply 361</t>
  </si>
  <si>
    <t>PRJ-0678</t>
  </si>
  <si>
    <t>Revisão de RH 918</t>
  </si>
  <si>
    <t>PRJ-0679</t>
  </si>
  <si>
    <t>Expansão de Atendimento 150</t>
  </si>
  <si>
    <t>PRJ-0680</t>
  </si>
  <si>
    <t>Automação de Atendimento 027</t>
  </si>
  <si>
    <t>PRJ-0681</t>
  </si>
  <si>
    <t>Expansão de Relatórios 869</t>
  </si>
  <si>
    <t>Iniciativa para integrar conformidade em relatórios.</t>
  </si>
  <si>
    <t>PRJ-0682</t>
  </si>
  <si>
    <t>Automação de Plataforma 940</t>
  </si>
  <si>
    <t>PRJ-0683</t>
  </si>
  <si>
    <t>Expansão de Plataforma 977</t>
  </si>
  <si>
    <t>PRJ-0684</t>
  </si>
  <si>
    <t>Expansão de Relatórios 406</t>
  </si>
  <si>
    <t>PRJ-0685</t>
  </si>
  <si>
    <t>Modernização de Plataforma 629</t>
  </si>
  <si>
    <t>PRJ-0686</t>
  </si>
  <si>
    <t>Expansão de Financeiro 391</t>
  </si>
  <si>
    <t>PRJ-0687</t>
  </si>
  <si>
    <t>Modernização de Dados 264</t>
  </si>
  <si>
    <t>PRJ-0688</t>
  </si>
  <si>
    <t>Integração de Operações 511</t>
  </si>
  <si>
    <t>PRJ-0689</t>
  </si>
  <si>
    <t>Modernização de Atendimento 958</t>
  </si>
  <si>
    <t>PRJ-0690</t>
  </si>
  <si>
    <t>Modernização de Supply 253</t>
  </si>
  <si>
    <t>PRJ-0691</t>
  </si>
  <si>
    <t>Expansão de Dados 659</t>
  </si>
  <si>
    <t>PRJ-0692</t>
  </si>
  <si>
    <t>Implantação de RH 806</t>
  </si>
  <si>
    <t>PRJ-0693</t>
  </si>
  <si>
    <t>Revisão de Dados 054</t>
  </si>
  <si>
    <t>PRJ-0694</t>
  </si>
  <si>
    <t>Otimização de Processos 945</t>
  </si>
  <si>
    <t>PRJ-0695</t>
  </si>
  <si>
    <t>Implantação de Financeiro 697</t>
  </si>
  <si>
    <t>PRJ-0696</t>
  </si>
  <si>
    <t>Padronização de Relatórios 679</t>
  </si>
  <si>
    <t>Iniciativa para reduzir custos em relatórios.</t>
  </si>
  <si>
    <t>PRJ-0697</t>
  </si>
  <si>
    <t>Modernização de Plataforma 405</t>
  </si>
  <si>
    <t>PRJ-0698</t>
  </si>
  <si>
    <t>Revisão de RH 757</t>
  </si>
  <si>
    <t>PRJ-0699</t>
  </si>
  <si>
    <t>Otimização de Financeiro 390</t>
  </si>
  <si>
    <t>PRJ-0700</t>
  </si>
  <si>
    <t>Revisão de Processos 115</t>
  </si>
  <si>
    <t>PRJ-0701</t>
  </si>
  <si>
    <t>Modernização de Segurança 781</t>
  </si>
  <si>
    <t>PRJ-0702</t>
  </si>
  <si>
    <t>Revisão de RH 491</t>
  </si>
  <si>
    <t>PRJ-0703</t>
  </si>
  <si>
    <t>Integração de Financeiro 129</t>
  </si>
  <si>
    <t>PRJ-0704</t>
  </si>
  <si>
    <t>Integração de Operações 200</t>
  </si>
  <si>
    <t>PRJ-0705</t>
  </si>
  <si>
    <t>Expansão de Dados 443</t>
  </si>
  <si>
    <t>PRJ-0706</t>
  </si>
  <si>
    <t>Padronização de Supply 626</t>
  </si>
  <si>
    <t>PRJ-0707</t>
  </si>
  <si>
    <t>Revisão de Operações 927</t>
  </si>
  <si>
    <t>Iniciativa para padronizar visibilidade em operações.</t>
  </si>
  <si>
    <t>PRJ-0708</t>
  </si>
  <si>
    <t>Integração de Plataforma 680</t>
  </si>
  <si>
    <t>PRJ-0709</t>
  </si>
  <si>
    <t>Revisão de Supply 088</t>
  </si>
  <si>
    <t>PRJ-0710</t>
  </si>
  <si>
    <t>Otimização de Operações 913</t>
  </si>
  <si>
    <t>PRJ-0711</t>
  </si>
  <si>
    <t>Otimização de Atendimento 768</t>
  </si>
  <si>
    <t>PRJ-0712</t>
  </si>
  <si>
    <t>Expansão de Supply 376</t>
  </si>
  <si>
    <t>PRJ-0713</t>
  </si>
  <si>
    <t>Automação de Plataforma 249</t>
  </si>
  <si>
    <t>PRJ-0714</t>
  </si>
  <si>
    <t>Revisão de Plataforma 628</t>
  </si>
  <si>
    <t>PRJ-0715</t>
  </si>
  <si>
    <t>Padronização de Segurança 726</t>
  </si>
  <si>
    <t>PRJ-0716</t>
  </si>
  <si>
    <t>Integração de Plataforma 720</t>
  </si>
  <si>
    <t>PRJ-0717</t>
  </si>
  <si>
    <t>Otimização de Atendimento 289</t>
  </si>
  <si>
    <t>Iniciativa para reduzir custos em atendimento.</t>
  </si>
  <si>
    <t>PRJ-0718</t>
  </si>
  <si>
    <t>Modernização de Operações 269</t>
  </si>
  <si>
    <t>PRJ-0719</t>
  </si>
  <si>
    <t>Expansão de RH 890</t>
  </si>
  <si>
    <t>PRJ-0720</t>
  </si>
  <si>
    <t>Automação de Segurança 098</t>
  </si>
  <si>
    <t>PRJ-0721</t>
  </si>
  <si>
    <t>Otimização de Supply 985</t>
  </si>
  <si>
    <t>PRJ-0722</t>
  </si>
  <si>
    <t>Modernização de Operações 133</t>
  </si>
  <si>
    <t>PRJ-0723</t>
  </si>
  <si>
    <t>Padronização de Atendimento 569</t>
  </si>
  <si>
    <t>PRJ-0724</t>
  </si>
  <si>
    <t>Modernização de Financeiro 769</t>
  </si>
  <si>
    <t>PRJ-0725</t>
  </si>
  <si>
    <t>Integração de Segurança 649</t>
  </si>
  <si>
    <t>PRJ-0726</t>
  </si>
  <si>
    <t>Otimização de Segurança 537</t>
  </si>
  <si>
    <t>PRJ-0727</t>
  </si>
  <si>
    <t>Expansão de Dados 161</t>
  </si>
  <si>
    <t>PRJ-0728</t>
  </si>
  <si>
    <t>Padronização de Supply 146</t>
  </si>
  <si>
    <t>PRJ-0729</t>
  </si>
  <si>
    <t>Modernização de Plataforma 144</t>
  </si>
  <si>
    <t>PRJ-0730</t>
  </si>
  <si>
    <t>Automação de Dados 843</t>
  </si>
  <si>
    <t>PRJ-0731</t>
  </si>
  <si>
    <t>Integração de Relatórios 978</t>
  </si>
  <si>
    <t>PRJ-0732</t>
  </si>
  <si>
    <t>Integração de Operações 504</t>
  </si>
  <si>
    <t>PRJ-0733</t>
  </si>
  <si>
    <t>Implantação de Supply 201</t>
  </si>
  <si>
    <t>PRJ-0734</t>
  </si>
  <si>
    <t>Implantação de Segurança 908</t>
  </si>
  <si>
    <t>PRJ-0735</t>
  </si>
  <si>
    <t>Revisão de RH 401</t>
  </si>
  <si>
    <t>PRJ-0736</t>
  </si>
  <si>
    <t>Expansão de Operações 985</t>
  </si>
  <si>
    <t>PRJ-0737</t>
  </si>
  <si>
    <t>Integração de Plataforma 942</t>
  </si>
  <si>
    <t>PRJ-0738</t>
  </si>
  <si>
    <t>Expansão de Processos 039</t>
  </si>
  <si>
    <t>PRJ-0739</t>
  </si>
  <si>
    <t>Integração de RH 830</t>
  </si>
  <si>
    <t>PRJ-0740</t>
  </si>
  <si>
    <t>Revisão de Dados 554</t>
  </si>
  <si>
    <t>PRJ-0741</t>
  </si>
  <si>
    <t>Revisão de Supply 661</t>
  </si>
  <si>
    <t>PRJ-0742</t>
  </si>
  <si>
    <t>Expansão de Plataforma 844</t>
  </si>
  <si>
    <t>PRJ-0743</t>
  </si>
  <si>
    <t>Expansão de Segurança 591</t>
  </si>
  <si>
    <t>PRJ-0744</t>
  </si>
  <si>
    <t>Expansão de Atendimento 846</t>
  </si>
  <si>
    <t>PRJ-0745</t>
  </si>
  <si>
    <t>Implantação de Supply 398</t>
  </si>
  <si>
    <t>PRJ-0746</t>
  </si>
  <si>
    <t>Modernização de Financeiro 706</t>
  </si>
  <si>
    <t>PRJ-0747</t>
  </si>
  <si>
    <t>Padronização de Processos 331</t>
  </si>
  <si>
    <t>PRJ-0748</t>
  </si>
  <si>
    <t>Otimização de Atendimento 600</t>
  </si>
  <si>
    <t>PRJ-0749</t>
  </si>
  <si>
    <t>Otimização de Financeiro 795</t>
  </si>
  <si>
    <t>PRJ-0750</t>
  </si>
  <si>
    <t>Padronização de RH 376</t>
  </si>
  <si>
    <t>PRJ-0751</t>
  </si>
  <si>
    <t>Integração de Relatórios 124</t>
  </si>
  <si>
    <t>PRJ-0752</t>
  </si>
  <si>
    <t>Expansão de Processos 381</t>
  </si>
  <si>
    <t>PRJ-0753</t>
  </si>
  <si>
    <t>Automação de Financeiro 567</t>
  </si>
  <si>
    <t>PRJ-0754</t>
  </si>
  <si>
    <t>Otimização de Financeiro 044</t>
  </si>
  <si>
    <t>PRJ-0755</t>
  </si>
  <si>
    <t>Implantação de RH 792</t>
  </si>
  <si>
    <t>PRJ-0756</t>
  </si>
  <si>
    <t>Revisão de Atendimento 876</t>
  </si>
  <si>
    <t>PRJ-0757</t>
  </si>
  <si>
    <t>Modernização de Atendimento 645</t>
  </si>
  <si>
    <t>PRJ-0758</t>
  </si>
  <si>
    <t>Integração de Operações 912</t>
  </si>
  <si>
    <t>PRJ-0759</t>
  </si>
  <si>
    <t>Padronização de Supply 252</t>
  </si>
  <si>
    <t>PRJ-0760</t>
  </si>
  <si>
    <t>Implantação de Dados 582</t>
  </si>
  <si>
    <t>PRJ-0761</t>
  </si>
  <si>
    <t>Modernização de Atendimento 111</t>
  </si>
  <si>
    <t>PRJ-0762</t>
  </si>
  <si>
    <t>Integração de Segurança 226</t>
  </si>
  <si>
    <t>PRJ-0763</t>
  </si>
  <si>
    <t>Automação de Plataforma 585</t>
  </si>
  <si>
    <t>PRJ-0764</t>
  </si>
  <si>
    <t>Expansão de RH 219</t>
  </si>
  <si>
    <t>PRJ-0765</t>
  </si>
  <si>
    <t>Revisão de Processos 512</t>
  </si>
  <si>
    <t>PRJ-0766</t>
  </si>
  <si>
    <t>Implantação de Segurança 389</t>
  </si>
  <si>
    <t>PRJ-0767</t>
  </si>
  <si>
    <t>Implantação de Supply 235</t>
  </si>
  <si>
    <t>PRJ-0768</t>
  </si>
  <si>
    <t>Otimização de Atendimento 082</t>
  </si>
  <si>
    <t>PRJ-0769</t>
  </si>
  <si>
    <t>Automação de Atendimento 562</t>
  </si>
  <si>
    <t>PRJ-0770</t>
  </si>
  <si>
    <t>Automação de Segurança 806</t>
  </si>
  <si>
    <t>PRJ-0771</t>
  </si>
  <si>
    <t>Implantação de RH 252</t>
  </si>
  <si>
    <t>PRJ-0772</t>
  </si>
  <si>
    <t>Padronização de Dados 363</t>
  </si>
  <si>
    <t>PRJ-0773</t>
  </si>
  <si>
    <t>Expansão de Atendimento 383</t>
  </si>
  <si>
    <t>PRJ-0774</t>
  </si>
  <si>
    <t>Integração de RH 259</t>
  </si>
  <si>
    <t>PRJ-0775</t>
  </si>
  <si>
    <t>Expansão de Plataforma 613</t>
  </si>
  <si>
    <t>PRJ-0776</t>
  </si>
  <si>
    <t>Otimização de Processos 522</t>
  </si>
  <si>
    <t>PRJ-0777</t>
  </si>
  <si>
    <t>Modernização de Relatórios 956</t>
  </si>
  <si>
    <t>PRJ-0778</t>
  </si>
  <si>
    <t>Expansão de Relatórios 438</t>
  </si>
  <si>
    <t>PRJ-0779</t>
  </si>
  <si>
    <t>Modernização de RH 832</t>
  </si>
  <si>
    <t>PRJ-0780</t>
  </si>
  <si>
    <t>Integração de Segurança 835</t>
  </si>
  <si>
    <t>PRJ-0781</t>
  </si>
  <si>
    <t>Padronização de Relatórios 949</t>
  </si>
  <si>
    <t>PRJ-0782</t>
  </si>
  <si>
    <t>Automação de Financeiro 485</t>
  </si>
  <si>
    <t>PRJ-0783</t>
  </si>
  <si>
    <t>Modernização de Plataforma 085</t>
  </si>
  <si>
    <t>PRJ-0784</t>
  </si>
  <si>
    <t>PRJ-0785</t>
  </si>
  <si>
    <t>Implantação de Relatórios 067</t>
  </si>
  <si>
    <t>PRJ-0786</t>
  </si>
  <si>
    <t>Implantação de Atendimento 670</t>
  </si>
  <si>
    <t>PRJ-0787</t>
  </si>
  <si>
    <t>Revisão de Supply 594</t>
  </si>
  <si>
    <t>PRJ-0788</t>
  </si>
  <si>
    <t>Modernização de Processos 033</t>
  </si>
  <si>
    <t>PRJ-0789</t>
  </si>
  <si>
    <t>Automação de Atendimento 426</t>
  </si>
  <si>
    <t>PRJ-0790</t>
  </si>
  <si>
    <t>Revisão de Supply 003</t>
  </si>
  <si>
    <t>PRJ-0791</t>
  </si>
  <si>
    <t>Implantação de Dados 774</t>
  </si>
  <si>
    <t>PRJ-0792</t>
  </si>
  <si>
    <t>Implantação de Financeiro 272</t>
  </si>
  <si>
    <t>PRJ-0793</t>
  </si>
  <si>
    <t>Otimização de RH 595</t>
  </si>
  <si>
    <t>PRJ-0794</t>
  </si>
  <si>
    <t>Otimização de Plataforma 133</t>
  </si>
  <si>
    <t>PRJ-0795</t>
  </si>
  <si>
    <t>Modernização de Processos 977</t>
  </si>
  <si>
    <t>PRJ-0796</t>
  </si>
  <si>
    <t>Expansão de Segurança 559</t>
  </si>
  <si>
    <t>PRJ-0797</t>
  </si>
  <si>
    <t>Expansão de Segurança 172</t>
  </si>
  <si>
    <t>PRJ-0798</t>
  </si>
  <si>
    <t>Revisão de Processos 681</t>
  </si>
  <si>
    <t>PRJ-0799</t>
  </si>
  <si>
    <t>Otimização de Supply 252</t>
  </si>
  <si>
    <t>PRJ-0800</t>
  </si>
  <si>
    <t>Padronização de Atendimento 757</t>
  </si>
  <si>
    <t>Iniciativa para aumentar visibilidade em atendimento.</t>
  </si>
  <si>
    <t>PRJ-0801</t>
  </si>
  <si>
    <t>Automação de Operações 218</t>
  </si>
  <si>
    <t>PRJ-0802</t>
  </si>
  <si>
    <t>Otimização de Atendimento 941</t>
  </si>
  <si>
    <t>PRJ-0803</t>
  </si>
  <si>
    <t>Integração de Plataforma 343</t>
  </si>
  <si>
    <t>PRJ-0804</t>
  </si>
  <si>
    <t>Integração de RH 561</t>
  </si>
  <si>
    <t>PRJ-0805</t>
  </si>
  <si>
    <t>Expansão de Atendimento 664</t>
  </si>
  <si>
    <t>PRJ-0806</t>
  </si>
  <si>
    <t>Modernização de Financeiro 137</t>
  </si>
  <si>
    <t>PRJ-0807</t>
  </si>
  <si>
    <t>Expansão de Financeiro 676</t>
  </si>
  <si>
    <t>PRJ-0808</t>
  </si>
  <si>
    <t>Otimização de Processos 767</t>
  </si>
  <si>
    <t>PRJ-0809</t>
  </si>
  <si>
    <t>Integração de Atendimento 860</t>
  </si>
  <si>
    <t>PRJ-0810</t>
  </si>
  <si>
    <t>Implantação de Financeiro 021</t>
  </si>
  <si>
    <t>PRJ-0811</t>
  </si>
  <si>
    <t>Expansão de Operações 350</t>
  </si>
  <si>
    <t>PRJ-0812</t>
  </si>
  <si>
    <t>Expansão de RH 640</t>
  </si>
  <si>
    <t>PRJ-0813</t>
  </si>
  <si>
    <t>Expansão de Processos 210</t>
  </si>
  <si>
    <t>PRJ-0814</t>
  </si>
  <si>
    <t>Modernização de Atendimento 659</t>
  </si>
  <si>
    <t>PRJ-0815</t>
  </si>
  <si>
    <t>Integração de Financeiro 909</t>
  </si>
  <si>
    <t>PRJ-0816</t>
  </si>
  <si>
    <t>Automação de Relatórios 240</t>
  </si>
  <si>
    <t>PRJ-0817</t>
  </si>
  <si>
    <t>Modernização de Relatórios 486</t>
  </si>
  <si>
    <t>PRJ-0818</t>
  </si>
  <si>
    <t>Revisão de RH 162</t>
  </si>
  <si>
    <t>PRJ-0819</t>
  </si>
  <si>
    <t>Modernização de Operações 119</t>
  </si>
  <si>
    <t>PRJ-0820</t>
  </si>
  <si>
    <t>Modernização de Segurança 552</t>
  </si>
  <si>
    <t>Iniciativa para integrar custos em segurança.</t>
  </si>
  <si>
    <t>PRJ-0821</t>
  </si>
  <si>
    <t>Automação de Operações 453</t>
  </si>
  <si>
    <t>PRJ-0822</t>
  </si>
  <si>
    <t>Revisão de Relatórios 776</t>
  </si>
  <si>
    <t>PRJ-0823</t>
  </si>
  <si>
    <t>Implantação de Atendimento 268</t>
  </si>
  <si>
    <t>PRJ-0824</t>
  </si>
  <si>
    <t>Otimização de Processos 614</t>
  </si>
  <si>
    <t>Iniciativa para melhorar custos em processos.</t>
  </si>
  <si>
    <t>PRJ-0825</t>
  </si>
  <si>
    <t>Integração de Supply 379</t>
  </si>
  <si>
    <t>PRJ-0826</t>
  </si>
  <si>
    <t>Revisão de Processos 791</t>
  </si>
  <si>
    <t>PRJ-0827</t>
  </si>
  <si>
    <t>Padronização de RH 902</t>
  </si>
  <si>
    <t>PRJ-0828</t>
  </si>
  <si>
    <t>Implantação de Financeiro 305</t>
  </si>
  <si>
    <t>PRJ-0829</t>
  </si>
  <si>
    <t>Expansão de Relatórios 364</t>
  </si>
  <si>
    <t>PRJ-0830</t>
  </si>
  <si>
    <t>Implantação de Dados 590</t>
  </si>
  <si>
    <t>PRJ-0831</t>
  </si>
  <si>
    <t>Revisão de Processos 297</t>
  </si>
  <si>
    <t>PRJ-0832</t>
  </si>
  <si>
    <t>Modernização de Operações 466</t>
  </si>
  <si>
    <t>PRJ-0833</t>
  </si>
  <si>
    <t>Modernização de Plataforma 941</t>
  </si>
  <si>
    <t>PRJ-0834</t>
  </si>
  <si>
    <t>Expansão de Plataforma 563</t>
  </si>
  <si>
    <t>PRJ-0835</t>
  </si>
  <si>
    <t>Integração de Financeiro 377</t>
  </si>
  <si>
    <t>PRJ-0836</t>
  </si>
  <si>
    <t>Automação de Financeiro 200</t>
  </si>
  <si>
    <t>PRJ-0837</t>
  </si>
  <si>
    <t>Otimização de Supply 244</t>
  </si>
  <si>
    <t>PRJ-0838</t>
  </si>
  <si>
    <t>Expansão de Financeiro 906</t>
  </si>
  <si>
    <t>PRJ-0839</t>
  </si>
  <si>
    <t>Automação de Financeiro 586</t>
  </si>
  <si>
    <t>PRJ-0840</t>
  </si>
  <si>
    <t>Integração de Supply 306</t>
  </si>
  <si>
    <t>PRJ-0841</t>
  </si>
  <si>
    <t>Revisão de Operações 595</t>
  </si>
  <si>
    <t>PRJ-0842</t>
  </si>
  <si>
    <t>Padronização de Plataforma 911</t>
  </si>
  <si>
    <t>PRJ-0843</t>
  </si>
  <si>
    <t>Modernização de Relatórios 860</t>
  </si>
  <si>
    <t>PRJ-0844</t>
  </si>
  <si>
    <t>Padronização de Relatórios 768</t>
  </si>
  <si>
    <t>PRJ-0845</t>
  </si>
  <si>
    <t>Modernização de Relatórios 924</t>
  </si>
  <si>
    <t>PRJ-0846</t>
  </si>
  <si>
    <t>Expansão de Supply 417</t>
  </si>
  <si>
    <t>PRJ-0847</t>
  </si>
  <si>
    <t>Automação de Segurança 602</t>
  </si>
  <si>
    <t>PRJ-0848</t>
  </si>
  <si>
    <t>Expansão de Dados 207</t>
  </si>
  <si>
    <t>Iniciativa para melhorar custos em dados.</t>
  </si>
  <si>
    <t>PRJ-0849</t>
  </si>
  <si>
    <t>Padronização de Financeiro 793</t>
  </si>
  <si>
    <t>PRJ-0850</t>
  </si>
  <si>
    <t>Padronização de Relatórios 744</t>
  </si>
  <si>
    <t>PRJ-0851</t>
  </si>
  <si>
    <t>Implantação de Processos 407</t>
  </si>
  <si>
    <t>PRJ-0852</t>
  </si>
  <si>
    <t>Padronização de Processos 210</t>
  </si>
  <si>
    <t>PRJ-0853</t>
  </si>
  <si>
    <t>Padronização de Plataforma 913</t>
  </si>
  <si>
    <t>PRJ-0854</t>
  </si>
  <si>
    <t>Otimização de Segurança 463</t>
  </si>
  <si>
    <t>PRJ-0855</t>
  </si>
  <si>
    <t>Automação de Plataforma 644</t>
  </si>
  <si>
    <t>PRJ-0856</t>
  </si>
  <si>
    <t>Modernização de Dados 182</t>
  </si>
  <si>
    <t>PRJ-0857</t>
  </si>
  <si>
    <t>Otimização de Financeiro 882</t>
  </si>
  <si>
    <t>PRJ-0858</t>
  </si>
  <si>
    <t>Expansão de Supply 016</t>
  </si>
  <si>
    <t>PRJ-0859</t>
  </si>
  <si>
    <t>Otimização de Dados 605</t>
  </si>
  <si>
    <t>PRJ-0860</t>
  </si>
  <si>
    <t>Expansão de Operações 734</t>
  </si>
  <si>
    <t>PRJ-0861</t>
  </si>
  <si>
    <t>Otimização de RH 094</t>
  </si>
  <si>
    <t>PRJ-0862</t>
  </si>
  <si>
    <t>Padronização de RH 626</t>
  </si>
  <si>
    <t>PRJ-0863</t>
  </si>
  <si>
    <t>Revisão de Dados 001</t>
  </si>
  <si>
    <t>PRJ-0864</t>
  </si>
  <si>
    <t>Automação de Supply 873</t>
  </si>
  <si>
    <t>PRJ-0865</t>
  </si>
  <si>
    <t>Implantação de Financeiro 851</t>
  </si>
  <si>
    <t>PRJ-0866</t>
  </si>
  <si>
    <t>Expansão de Operações 227</t>
  </si>
  <si>
    <t>PRJ-0867</t>
  </si>
  <si>
    <t>Revisão de RH 792</t>
  </si>
  <si>
    <t>PRJ-0868</t>
  </si>
  <si>
    <t>Revisão de Operações 242</t>
  </si>
  <si>
    <t>PRJ-0869</t>
  </si>
  <si>
    <t>Padronização de Dados 100</t>
  </si>
  <si>
    <t>PRJ-0870</t>
  </si>
  <si>
    <t>Modernização de Operações 537</t>
  </si>
  <si>
    <t>PRJ-0871</t>
  </si>
  <si>
    <t>Expansão de Financeiro 060</t>
  </si>
  <si>
    <t>PRJ-0872</t>
  </si>
  <si>
    <t>Expansão de Supply 816</t>
  </si>
  <si>
    <t>PRJ-0873</t>
  </si>
  <si>
    <t>Implantação de Supply 655</t>
  </si>
  <si>
    <t>PRJ-0874</t>
  </si>
  <si>
    <t>Automação de Plataforma 291</t>
  </si>
  <si>
    <t>PRJ-0875</t>
  </si>
  <si>
    <t>Expansão de Relatórios 765</t>
  </si>
  <si>
    <t>PRJ-0876</t>
  </si>
  <si>
    <t>Automação de Processos 642</t>
  </si>
  <si>
    <t>PRJ-0877</t>
  </si>
  <si>
    <t>Modernização de RH 182</t>
  </si>
  <si>
    <t>PRJ-0878</t>
  </si>
  <si>
    <t>Integração de Plataforma 402</t>
  </si>
  <si>
    <t>PRJ-0879</t>
  </si>
  <si>
    <t>Automação de Relatórios 159</t>
  </si>
  <si>
    <t>PRJ-0880</t>
  </si>
  <si>
    <t>Automação de Supply 669</t>
  </si>
  <si>
    <t>PRJ-0881</t>
  </si>
  <si>
    <t>Revisão de Atendimento 887</t>
  </si>
  <si>
    <t>PRJ-0882</t>
  </si>
  <si>
    <t>Padronização de Plataforma 220</t>
  </si>
  <si>
    <t>PRJ-0883</t>
  </si>
  <si>
    <t>Padronização de Dados 516</t>
  </si>
  <si>
    <t>PRJ-0884</t>
  </si>
  <si>
    <t>Otimização de Atendimento 310</t>
  </si>
  <si>
    <t>PRJ-0885</t>
  </si>
  <si>
    <t>Revisão de Processos 095</t>
  </si>
  <si>
    <t>PRJ-0886</t>
  </si>
  <si>
    <t>Automação de Financeiro 050</t>
  </si>
  <si>
    <t>PRJ-0887</t>
  </si>
  <si>
    <t>Expansão de Financeiro 108</t>
  </si>
  <si>
    <t>PRJ-0888</t>
  </si>
  <si>
    <t>Integração de Financeiro 390</t>
  </si>
  <si>
    <t>PRJ-0889</t>
  </si>
  <si>
    <t>Expansão de Dados 144</t>
  </si>
  <si>
    <t>PRJ-0890</t>
  </si>
  <si>
    <t>Otimização de Segurança 733</t>
  </si>
  <si>
    <t>PRJ-0891</t>
  </si>
  <si>
    <t>Expansão de Atendimento 781</t>
  </si>
  <si>
    <t>PRJ-0892</t>
  </si>
  <si>
    <t>Implantação de Processos 171</t>
  </si>
  <si>
    <t>PRJ-0893</t>
  </si>
  <si>
    <t>Automação de Processos 228</t>
  </si>
  <si>
    <t>PRJ-0894</t>
  </si>
  <si>
    <t>Revisão de Supply 292</t>
  </si>
  <si>
    <t>PRJ-0895</t>
  </si>
  <si>
    <t>Otimização de Financeiro 568</t>
  </si>
  <si>
    <t>PRJ-0896</t>
  </si>
  <si>
    <t>Otimização de Plataforma 998</t>
  </si>
  <si>
    <t>Iniciativa para aumentar custos em plataforma.</t>
  </si>
  <si>
    <t>PRJ-0897</t>
  </si>
  <si>
    <t>Padronização de Atendimento 205</t>
  </si>
  <si>
    <t>PRJ-0898</t>
  </si>
  <si>
    <t>Otimização de Supply 204</t>
  </si>
  <si>
    <t>PRJ-0899</t>
  </si>
  <si>
    <t>Padronização de Processos 033</t>
  </si>
  <si>
    <t>PRJ-0900</t>
  </si>
  <si>
    <t>PRJ-0901</t>
  </si>
  <si>
    <t>Implantação de Operações 624</t>
  </si>
  <si>
    <t>PRJ-0902</t>
  </si>
  <si>
    <t>Modernização de Financeiro 392</t>
  </si>
  <si>
    <t>PRJ-0903</t>
  </si>
  <si>
    <t>PRJ-0904</t>
  </si>
  <si>
    <t>Padronização de Dados 865</t>
  </si>
  <si>
    <t>PRJ-0905</t>
  </si>
  <si>
    <t>Padronização de Relatórios 919</t>
  </si>
  <si>
    <t>PRJ-0906</t>
  </si>
  <si>
    <t>Modernização de RH 970</t>
  </si>
  <si>
    <t>PRJ-0907</t>
  </si>
  <si>
    <t>Modernização de Relatórios 863</t>
  </si>
  <si>
    <t>PRJ-0908</t>
  </si>
  <si>
    <t>Automação de RH 744</t>
  </si>
  <si>
    <t>PRJ-0909</t>
  </si>
  <si>
    <t>Integração de Relatórios 500</t>
  </si>
  <si>
    <t>Iniciativa para aumentar conformidade em relatórios.</t>
  </si>
  <si>
    <t>PRJ-0910</t>
  </si>
  <si>
    <t>Implantação de Operações 386</t>
  </si>
  <si>
    <t>PRJ-0911</t>
  </si>
  <si>
    <t>Integração de Financeiro 282</t>
  </si>
  <si>
    <t>PRJ-0912</t>
  </si>
  <si>
    <t>Automação de Dados 456</t>
  </si>
  <si>
    <t>PRJ-0913</t>
  </si>
  <si>
    <t>Expansão de Plataforma 239</t>
  </si>
  <si>
    <t>PRJ-0914</t>
  </si>
  <si>
    <t>Implantação de RH 149</t>
  </si>
  <si>
    <t>PRJ-0915</t>
  </si>
  <si>
    <t>Modernização de Dados 130</t>
  </si>
  <si>
    <t>PRJ-0916</t>
  </si>
  <si>
    <t>Revisão de Operações 190</t>
  </si>
  <si>
    <t>PRJ-0917</t>
  </si>
  <si>
    <t>Revisão de Operações 268</t>
  </si>
  <si>
    <t>PRJ-0918</t>
  </si>
  <si>
    <t>Modernização de Financeiro 700</t>
  </si>
  <si>
    <t>PRJ-0919</t>
  </si>
  <si>
    <t>Otimização de Processos 609</t>
  </si>
  <si>
    <t>PRJ-0920</t>
  </si>
  <si>
    <t>Automação de Processos 840</t>
  </si>
  <si>
    <t>PRJ-0921</t>
  </si>
  <si>
    <t>Expansão de Relatórios 249</t>
  </si>
  <si>
    <t>PRJ-0922</t>
  </si>
  <si>
    <t>Expansão de Relatórios 877</t>
  </si>
  <si>
    <t>PRJ-0923</t>
  </si>
  <si>
    <t>Modernização de Plataforma 182</t>
  </si>
  <si>
    <t>PRJ-0924</t>
  </si>
  <si>
    <t>Expansão de RH 729</t>
  </si>
  <si>
    <t>PRJ-0925</t>
  </si>
  <si>
    <t>Expansão de Plataforma 151</t>
  </si>
  <si>
    <t>PRJ-0926</t>
  </si>
  <si>
    <t>Automação de Supply 272</t>
  </si>
  <si>
    <t>Iniciativa para integrar tempo de ciclo em supply.</t>
  </si>
  <si>
    <t>PRJ-0927</t>
  </si>
  <si>
    <t>Revisão de Atendimento 668</t>
  </si>
  <si>
    <t>PRJ-0928</t>
  </si>
  <si>
    <t>Implantação de Relatórios 502</t>
  </si>
  <si>
    <t>PRJ-0929</t>
  </si>
  <si>
    <t>Revisão de Segurança 034</t>
  </si>
  <si>
    <t>PRJ-0930</t>
  </si>
  <si>
    <t>Modernização de Financeiro 452</t>
  </si>
  <si>
    <t>PRJ-0931</t>
  </si>
  <si>
    <t>Modernização de RH 618</t>
  </si>
  <si>
    <t>PRJ-0932</t>
  </si>
  <si>
    <t>Implantação de Dados 753</t>
  </si>
  <si>
    <t>PRJ-0933</t>
  </si>
  <si>
    <t>Padronização de Relatórios 260</t>
  </si>
  <si>
    <t>PRJ-0934</t>
  </si>
  <si>
    <t>Integração de Segurança 582</t>
  </si>
  <si>
    <t>PRJ-0935</t>
  </si>
  <si>
    <t>Modernização de Processos 836</t>
  </si>
  <si>
    <t>PRJ-0936</t>
  </si>
  <si>
    <t>Padronização de Financeiro 125</t>
  </si>
  <si>
    <t>PRJ-0937</t>
  </si>
  <si>
    <t>Otimização de RH 283</t>
  </si>
  <si>
    <t>PRJ-0938</t>
  </si>
  <si>
    <t>Expansão de RH 855</t>
  </si>
  <si>
    <t>PRJ-0939</t>
  </si>
  <si>
    <t>Otimização de RH 555</t>
  </si>
  <si>
    <t>PRJ-0940</t>
  </si>
  <si>
    <t>Expansão de Relatórios 398</t>
  </si>
  <si>
    <t>PRJ-0941</t>
  </si>
  <si>
    <t>Revisão de RH 865</t>
  </si>
  <si>
    <t>PRJ-0942</t>
  </si>
  <si>
    <t>Expansão de Processos 310</t>
  </si>
  <si>
    <t>PRJ-0943</t>
  </si>
  <si>
    <t>Implantação de Financeiro 617</t>
  </si>
  <si>
    <t>PRJ-0944</t>
  </si>
  <si>
    <t>Implantação de Supply 273</t>
  </si>
  <si>
    <t>PRJ-0945</t>
  </si>
  <si>
    <t>Otimização de Operações 019</t>
  </si>
  <si>
    <t>PRJ-0946</t>
  </si>
  <si>
    <t>Revisão de Atendimento 006</t>
  </si>
  <si>
    <t>PRJ-0947</t>
  </si>
  <si>
    <t>Otimização de Plataforma 119</t>
  </si>
  <si>
    <t>PRJ-0948</t>
  </si>
  <si>
    <t>Automação de Segurança 045</t>
  </si>
  <si>
    <t>PRJ-0949</t>
  </si>
  <si>
    <t>Automação de Operações 535</t>
  </si>
  <si>
    <t>PRJ-0950</t>
  </si>
  <si>
    <t>Integração de Atendimento 831</t>
  </si>
  <si>
    <t>PRJ-0951</t>
  </si>
  <si>
    <t>Implantação de Dados 783</t>
  </si>
  <si>
    <t>PRJ-0952</t>
  </si>
  <si>
    <t>Integração de Dados 311</t>
  </si>
  <si>
    <t>PRJ-0953</t>
  </si>
  <si>
    <t>Revisão de RH 635</t>
  </si>
  <si>
    <t>PRJ-0954</t>
  </si>
  <si>
    <t>Implantação de Processos 683</t>
  </si>
  <si>
    <t>PRJ-0955</t>
  </si>
  <si>
    <t>Automação de Relatórios 650</t>
  </si>
  <si>
    <t>PRJ-0956</t>
  </si>
  <si>
    <t>Revisão de Processos 011</t>
  </si>
  <si>
    <t>PRJ-0957</t>
  </si>
  <si>
    <t>Otimização de RH 103</t>
  </si>
  <si>
    <t>PRJ-0958</t>
  </si>
  <si>
    <t>Integração de Atendimento 792</t>
  </si>
  <si>
    <t>PRJ-0959</t>
  </si>
  <si>
    <t>Revisão de Operações 632</t>
  </si>
  <si>
    <t>PRJ-0960</t>
  </si>
  <si>
    <t>Otimização de Processos 408</t>
  </si>
  <si>
    <t>PRJ-0961</t>
  </si>
  <si>
    <t>Integração de Operações 869</t>
  </si>
  <si>
    <t>PRJ-0962</t>
  </si>
  <si>
    <t>Integração de Financeiro 321</t>
  </si>
  <si>
    <t>PRJ-0963</t>
  </si>
  <si>
    <t>Otimização de Processos 586</t>
  </si>
  <si>
    <t>PRJ-0964</t>
  </si>
  <si>
    <t>Integração de Relatórios 632</t>
  </si>
  <si>
    <t>PRJ-0965</t>
  </si>
  <si>
    <t>Expansão de Processos 237</t>
  </si>
  <si>
    <t>PRJ-0966</t>
  </si>
  <si>
    <t>Modernização de Supply 863</t>
  </si>
  <si>
    <t>PRJ-0967</t>
  </si>
  <si>
    <t>Padronização de Processos 703</t>
  </si>
  <si>
    <t>PRJ-0968</t>
  </si>
  <si>
    <t>Modernização de Financeiro 570</t>
  </si>
  <si>
    <t>PRJ-0969</t>
  </si>
  <si>
    <t>Automação de Dados 283</t>
  </si>
  <si>
    <t>PRJ-0970</t>
  </si>
  <si>
    <t>Automação de Processos 259</t>
  </si>
  <si>
    <t>PRJ-0971</t>
  </si>
  <si>
    <t>Otimização de Segurança 052</t>
  </si>
  <si>
    <t>Iniciativa para aumentar tempo de ciclo em segurança.</t>
  </si>
  <si>
    <t>PRJ-0972</t>
  </si>
  <si>
    <t>Otimização de Financeiro 260</t>
  </si>
  <si>
    <t>PRJ-0973</t>
  </si>
  <si>
    <t>PRJ-0974</t>
  </si>
  <si>
    <t>Expansão de Financeiro 167</t>
  </si>
  <si>
    <t>PRJ-0975</t>
  </si>
  <si>
    <t>Integração de Financeiro 953</t>
  </si>
  <si>
    <t>PRJ-0976</t>
  </si>
  <si>
    <t>Integração de Operações 427</t>
  </si>
  <si>
    <t>PRJ-0977</t>
  </si>
  <si>
    <t>Automação de Supply 964</t>
  </si>
  <si>
    <t>PRJ-0978</t>
  </si>
  <si>
    <t>Implantação de Plataforma 674</t>
  </si>
  <si>
    <t>PRJ-0979</t>
  </si>
  <si>
    <t>Implantação de Segurança 973</t>
  </si>
  <si>
    <t>PRJ-0980</t>
  </si>
  <si>
    <t>Implantação de RH 339</t>
  </si>
  <si>
    <t>PRJ-0981</t>
  </si>
  <si>
    <t>Expansão de Plataforma 442</t>
  </si>
  <si>
    <t>PRJ-0982</t>
  </si>
  <si>
    <t>Revisão de Supply 590</t>
  </si>
  <si>
    <t>PRJ-0983</t>
  </si>
  <si>
    <t>Implantação de Dados 598</t>
  </si>
  <si>
    <t>PRJ-0984</t>
  </si>
  <si>
    <t>Modernização de RH 963</t>
  </si>
  <si>
    <t>PRJ-0985</t>
  </si>
  <si>
    <t>Padronização de Atendimento 274</t>
  </si>
  <si>
    <t>PRJ-0986</t>
  </si>
  <si>
    <t>Expansão de Financeiro 699</t>
  </si>
  <si>
    <t>PRJ-0987</t>
  </si>
  <si>
    <t>Otimização de Processos 026</t>
  </si>
  <si>
    <t>PRJ-0988</t>
  </si>
  <si>
    <t>Expansão de Dados 826</t>
  </si>
  <si>
    <t>PRJ-0989</t>
  </si>
  <si>
    <t>Padronização de Segurança 353</t>
  </si>
  <si>
    <t>PRJ-0990</t>
  </si>
  <si>
    <t>Automação de Processos 295</t>
  </si>
  <si>
    <t>PRJ-0991</t>
  </si>
  <si>
    <t>Padronização de Plataforma 783</t>
  </si>
  <si>
    <t>PRJ-0992</t>
  </si>
  <si>
    <t>Modernização de RH 683</t>
  </si>
  <si>
    <t>PRJ-0993</t>
  </si>
  <si>
    <t>Modernização de Operações 300</t>
  </si>
  <si>
    <t>PRJ-0994</t>
  </si>
  <si>
    <t>Otimização de Financeiro 249</t>
  </si>
  <si>
    <t>PRJ-0995</t>
  </si>
  <si>
    <t>Modernização de Dados 332</t>
  </si>
  <si>
    <t>PRJ-0996</t>
  </si>
  <si>
    <t>Otimização de Supply 327</t>
  </si>
  <si>
    <t>PRJ-0997</t>
  </si>
  <si>
    <t>Expansão de Operações 217</t>
  </si>
  <si>
    <t>PRJ-0998</t>
  </si>
  <si>
    <t>Automação de Plataforma 154</t>
  </si>
  <si>
    <t>PRJ-0999</t>
  </si>
  <si>
    <t>Expansão de RH 915</t>
  </si>
  <si>
    <t>PRJ-1000</t>
  </si>
  <si>
    <t>Implantação de Segurança 119</t>
  </si>
  <si>
    <t>Contagem de projeto_id</t>
  </si>
  <si>
    <t>Contagem de data_fim_real</t>
  </si>
  <si>
    <t>% de Conclusão</t>
  </si>
  <si>
    <t>Soma de orcamento_aprovado</t>
  </si>
  <si>
    <t>Soma de custo_real_acumulado</t>
  </si>
  <si>
    <t>Saldo</t>
  </si>
  <si>
    <t>Soma de beneficio_esperado_anual</t>
  </si>
  <si>
    <t>ROI</t>
  </si>
  <si>
    <t>Soma de Saldo</t>
  </si>
  <si>
    <t>Rótulos de Linha</t>
  </si>
  <si>
    <t>Total Geral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</si>
  <si>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</si>
  <si>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</si>
  <si>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</si>
  <si>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</si>
  <si>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</si>
  <si>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</si>
  <si>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</si>
  <si>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</si>
  <si>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</si>
  <si>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</si>
  <si>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</si>
  <si>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</si>
  <si>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Contagem de prioridade</t>
  </si>
  <si>
    <t>Prazo</t>
  </si>
  <si>
    <t>Média de Prazo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</si>
</sst>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R$&quot;\ #,##0.00"/>
  </numFmts>
  <fonts count="3" x14ac:knownFonts="1">
    <font>
      <sz val="11"/>
      <color theme="1"/>
      <name val="Gill Sans MT"/>
      <family val="2"/>
      <scheme val="minor"/>
    </font>
    <font>
      <sz val="11"/>
      <color theme="1"/>
      <name val="Gill Sans MT"/>
      <family val="2"/>
      <scheme val="minor"/>
    </font>
    <font>
      <u/>
      <sz val="11"/>
      <color theme="1"/>
      <name val="Gill Sans MT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14" fontId="0" fillId="0" borderId="0" xfId="0" applyNumberFormat="1"/>
    <xf numFmtId="165" fontId="0" fillId="0" borderId="0" xfId="0" applyNumberFormat="1"/>
    <xf numFmtId="0" fontId="0" fillId="0" borderId="0" xfId="0" applyNumberFormat="1"/>
    <xf numFmtId="0" fontId="0" fillId="0" borderId="0" xfId="0" pivotButton="1"/>
    <xf numFmtId="9" fontId="0" fillId="0" borderId="0" xfId="1" applyFont="1"/>
    <xf numFmtId="2" fontId="2" fillId="0" borderId="0" xfId="0" applyNumberFormat="1" applyFont="1"/>
    <xf numFmtId="0" fontId="2" fillId="0" borderId="0" xfId="0" applyFont="1"/>
    <xf numFmtId="0" fontId="0" fillId="0" borderId="0" xfId="0" applyAlignment="1">
      <alignment horizontal="left"/>
    </xf>
    <xf numFmtId="1" fontId="0" fillId="0" borderId="0" xfId="0" applyNumberFormat="1"/>
  </cellXfs>
  <cellStyles count="2">
    <cellStyle name="Normal" xfId="0" builtinId="0"/>
    <cellStyle name="Porcentagem" xfId="1" builtinId="5"/>
  </cellStyles>
  <dxfs count="9">
    <dxf>
      <numFmt numFmtId="0" formatCode="General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[Dashboard_Gestao_indicadores_excel.xlsx]Tabela Dinamica!Tabela dinâmica9</c:name>
    <c:fmtId val="1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50800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'Tabela Dinamica'!$E$2</c:f>
              <c:strCache>
                <c:ptCount val="1"/>
                <c:pt idx="0">
                  <c:v>Soma de orcamento_aprovado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'Tabela Dinamica'!$D$3:$D$15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'Tabela Dinamica'!$E$3:$E$15</c:f>
              <c:numCache>
                <c:formatCode>"R$"\ #,##0.00</c:formatCode>
                <c:ptCount val="12"/>
                <c:pt idx="0">
                  <c:v>1731588.3199999998</c:v>
                </c:pt>
                <c:pt idx="1">
                  <c:v>1458437.6</c:v>
                </c:pt>
                <c:pt idx="2">
                  <c:v>2004230.3699999999</c:v>
                </c:pt>
                <c:pt idx="3">
                  <c:v>1076178.04</c:v>
                </c:pt>
                <c:pt idx="4">
                  <c:v>850897.88</c:v>
                </c:pt>
                <c:pt idx="5">
                  <c:v>1677672.36</c:v>
                </c:pt>
                <c:pt idx="6">
                  <c:v>775931.82</c:v>
                </c:pt>
                <c:pt idx="7">
                  <c:v>653888.4</c:v>
                </c:pt>
                <c:pt idx="8">
                  <c:v>510481.42000000004</c:v>
                </c:pt>
                <c:pt idx="9">
                  <c:v>1147282.8199999998</c:v>
                </c:pt>
                <c:pt idx="10">
                  <c:v>1548753.96</c:v>
                </c:pt>
                <c:pt idx="11">
                  <c:v>1819228.35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CC-42FD-9DE8-F48FAF1603F3}"/>
            </c:ext>
          </c:extLst>
        </c:ser>
        <c:ser>
          <c:idx val="1"/>
          <c:order val="1"/>
          <c:tx>
            <c:strRef>
              <c:f>'Tabela Dinamica'!$F$2</c:f>
              <c:strCache>
                <c:ptCount val="1"/>
                <c:pt idx="0">
                  <c:v>Soma de custo_real_acumulado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'Tabela Dinamica'!$D$3:$D$15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'Tabela Dinamica'!$F$3:$F$15</c:f>
              <c:numCache>
                <c:formatCode>"R$"\ #,##0.00</c:formatCode>
                <c:ptCount val="12"/>
                <c:pt idx="0">
                  <c:v>955626.03</c:v>
                </c:pt>
                <c:pt idx="1">
                  <c:v>1056271.6499999999</c:v>
                </c:pt>
                <c:pt idx="2">
                  <c:v>1163996.0399999998</c:v>
                </c:pt>
                <c:pt idx="3">
                  <c:v>369609.49</c:v>
                </c:pt>
                <c:pt idx="4">
                  <c:v>142645.91</c:v>
                </c:pt>
                <c:pt idx="5">
                  <c:v>1009322.81</c:v>
                </c:pt>
                <c:pt idx="6">
                  <c:v>414385.45</c:v>
                </c:pt>
                <c:pt idx="7">
                  <c:v>444691.1</c:v>
                </c:pt>
                <c:pt idx="8">
                  <c:v>325467.93</c:v>
                </c:pt>
                <c:pt idx="9">
                  <c:v>509171.16999999993</c:v>
                </c:pt>
                <c:pt idx="10">
                  <c:v>1340323.8800000001</c:v>
                </c:pt>
                <c:pt idx="11">
                  <c:v>938973.64999999991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CC-42FD-9DE8-F48FAF1603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6"/>
        <c:axId val="1488745680"/>
        <c:axId val="495328752"/>
      </c:barChart>
      <c:lineChart>
        <c:grouping val="standard"/>
        <c:varyColors val="0"/>
        <c:ser>
          <c:idx val="2"/>
          <c:order val="2"/>
          <c:tx>
            <c:strRef>
              <c:f>'Tabela Dinamica'!$G$2</c:f>
              <c:strCache>
                <c:ptCount val="1"/>
                <c:pt idx="0">
                  <c:v>Soma de Saldo</c:v>
                </c:pt>
              </c:strCache>
            </c:strRef>
          </c:tx>
          <c:spPr>
            <a:ln w="508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'Tabela Dinamica'!$D$3:$D$15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'Tabela Dinamica'!$G$3:$G$15</c:f>
              <c:numCache>
                <c:formatCode>"R$"\ #,##0.00</c:formatCode>
                <c:ptCount val="12"/>
                <c:pt idx="0">
                  <c:v>775962.29</c:v>
                </c:pt>
                <c:pt idx="1">
                  <c:v>402165.94999999995</c:v>
                </c:pt>
                <c:pt idx="2">
                  <c:v>840234.33000000007</c:v>
                </c:pt>
                <c:pt idx="3">
                  <c:v>706568.55</c:v>
                </c:pt>
                <c:pt idx="4">
                  <c:v>708251.97000000009</c:v>
                </c:pt>
                <c:pt idx="5">
                  <c:v>668349.55000000005</c:v>
                </c:pt>
                <c:pt idx="6">
                  <c:v>361546.37</c:v>
                </c:pt>
                <c:pt idx="7">
                  <c:v>209197.3</c:v>
                </c:pt>
                <c:pt idx="8">
                  <c:v>185013.49000000002</c:v>
                </c:pt>
                <c:pt idx="9">
                  <c:v>638111.65</c:v>
                </c:pt>
                <c:pt idx="10">
                  <c:v>208430.07999999993</c:v>
                </c:pt>
                <c:pt idx="11">
                  <c:v>880254.7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BDCC-42FD-9DE8-F48FAF1603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88745680"/>
        <c:axId val="495328752"/>
      </c:lineChart>
      <c:catAx>
        <c:axId val="1488745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95328752"/>
        <c:crosses val="autoZero"/>
        <c:auto val="1"/>
        <c:lblAlgn val="ctr"/>
        <c:lblOffset val="100"/>
        <c:noMultiLvlLbl val="0"/>
      </c:catAx>
      <c:valAx>
        <c:axId val="495328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88745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[Dashboard_Gestao_indicadores_excel.xlsx]Tabela Dinamica!Tabela dinâmica10</c:name>
    <c:fmtId val="25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1" i="0" u="none" strike="noStrike" kern="1200" baseline="0">
                  <a:solidFill>
                    <a:schemeClr val="lt1"/>
                  </a:solidFill>
                  <a:effectLst>
                    <a:outerShdw blurRad="50800" dist="38100" dir="2700000" algn="tl" rotWithShape="0">
                      <a:prstClr val="black">
                        <a:alpha val="87000"/>
                      </a:prst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'Tabela Dinamica'!$J$2</c:f>
              <c:strCache>
                <c:ptCount val="1"/>
                <c:pt idx="0">
                  <c:v>Total</c:v>
                </c:pt>
              </c:strCache>
            </c:strRef>
          </c:tx>
          <c:explosion val="5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E28-4751-91DE-D055200ADD7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E28-4751-91DE-D055200ADD7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E28-4751-91DE-D055200ADD7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E28-4751-91DE-D055200ADD7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lt1"/>
                    </a:solidFill>
                    <a:effectLst>
                      <a:outerShdw blurRad="50800" dist="38100" dir="2700000" algn="tl" rotWithShape="0">
                        <a:prstClr val="black">
                          <a:alpha val="87000"/>
                        </a:prst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'Tabela Dinamica'!$I$3:$I$7</c:f>
              <c:strCache>
                <c:ptCount val="4"/>
                <c:pt idx="0">
                  <c:v>Alta</c:v>
                </c:pt>
                <c:pt idx="1">
                  <c:v>Baixa</c:v>
                </c:pt>
                <c:pt idx="2">
                  <c:v>Crítica</c:v>
                </c:pt>
                <c:pt idx="3">
                  <c:v>Média</c:v>
                </c:pt>
              </c:strCache>
            </c:strRef>
          </c:cat>
          <c:val>
            <c:numRef>
              <c:f>'Tabela Dinamica'!$J$3:$J$7</c:f>
              <c:numCache>
                <c:formatCode>General</c:formatCode>
                <c:ptCount val="4"/>
                <c:pt idx="0">
                  <c:v>26</c:v>
                </c:pt>
                <c:pt idx="1">
                  <c:v>35</c:v>
                </c:pt>
                <c:pt idx="2">
                  <c:v>12</c:v>
                </c:pt>
                <c:pt idx="3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E28-4751-91DE-D055200ADD79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[Dashboard_Gestao_indicadores_excel.xlsx]Tabela Dinamica!Tabela dinâmica12</c:name>
    <c:fmtId val="3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100" b="1"/>
              <a:t>Prazo médio</a:t>
            </a:r>
            <a:r>
              <a:rPr lang="pt-BR" sz="1100" b="1" baseline="0"/>
              <a:t> de conclusão por Mês </a:t>
            </a:r>
          </a:p>
        </c:rich>
      </c:tx>
      <c:layout>
        <c:manualLayout>
          <c:xMode val="edge"/>
          <c:yMode val="edge"/>
          <c:x val="0.27225381530648285"/>
          <c:y val="1.044776058010573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50800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'Tabela Dinamica'!$M$2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Dinamica'!$L$3:$L$15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'Tabela Dinamica'!$M$3:$M$15</c:f>
              <c:numCache>
                <c:formatCode>0</c:formatCode>
                <c:ptCount val="12"/>
                <c:pt idx="0">
                  <c:v>97</c:v>
                </c:pt>
                <c:pt idx="1">
                  <c:v>97</c:v>
                </c:pt>
                <c:pt idx="2">
                  <c:v>80.5</c:v>
                </c:pt>
                <c:pt idx="3">
                  <c:v>74</c:v>
                </c:pt>
                <c:pt idx="4">
                  <c:v>72</c:v>
                </c:pt>
                <c:pt idx="5">
                  <c:v>82</c:v>
                </c:pt>
                <c:pt idx="6">
                  <c:v>44.5</c:v>
                </c:pt>
                <c:pt idx="7">
                  <c:v>77</c:v>
                </c:pt>
                <c:pt idx="8">
                  <c:v>#N/A</c:v>
                </c:pt>
                <c:pt idx="9">
                  <c:v>52.5</c:v>
                </c:pt>
                <c:pt idx="10">
                  <c:v>46.666666666666664</c:v>
                </c:pt>
                <c:pt idx="1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875-4098-8BA0-745FDEBF64C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678807008"/>
        <c:axId val="425798480"/>
      </c:lineChart>
      <c:catAx>
        <c:axId val="1678807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25798480"/>
        <c:crosses val="autoZero"/>
        <c:auto val="1"/>
        <c:lblAlgn val="ctr"/>
        <c:lblOffset val="100"/>
        <c:noMultiLvlLbl val="0"/>
      </c:catAx>
      <c:valAx>
        <c:axId val="425798480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788070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[Dashboard_Gestao_indicadores_excel.xlsx]Tabela Dinamica!Tabela dinâmica13</c:name>
    <c:fmtId val="4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/>
              <a:t>10 Maiores Prazos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'Tabela Dinamica'!$P$2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Dinamica'!$O$3:$O$13</c:f>
              <c:strCache>
                <c:ptCount val="10"/>
                <c:pt idx="0">
                  <c:v>Iniciativa para melhorar conformidade em segurança.</c:v>
                </c:pt>
                <c:pt idx="1">
                  <c:v>Iniciativa para reduzir custos em supply.</c:v>
                </c:pt>
                <c:pt idx="2">
                  <c:v>Iniciativa para melhorar tempo de ciclo em relatórios.</c:v>
                </c:pt>
                <c:pt idx="3">
                  <c:v>Iniciativa para reduzir custos em plataforma.</c:v>
                </c:pt>
                <c:pt idx="4">
                  <c:v>Iniciativa para reduzir tempo de ciclo em financeiro.</c:v>
                </c:pt>
                <c:pt idx="5">
                  <c:v>Iniciativa para padronizar conformidade em dados.</c:v>
                </c:pt>
                <c:pt idx="6">
                  <c:v>Iniciativa para integrar visibilidade em dados.</c:v>
                </c:pt>
                <c:pt idx="7">
                  <c:v>Iniciativa para reduzir conformidade em processos.</c:v>
                </c:pt>
                <c:pt idx="8">
                  <c:v>Iniciativa para aumentar tempo de ciclo em plataforma.</c:v>
                </c:pt>
                <c:pt idx="9">
                  <c:v>Iniciativa para melhorar custos em operações.</c:v>
                </c:pt>
              </c:strCache>
            </c:strRef>
          </c:cat>
          <c:val>
            <c:numRef>
              <c:f>'Tabela Dinamica'!$P$3:$P$13</c:f>
              <c:numCache>
                <c:formatCode>0</c:formatCode>
                <c:ptCount val="10"/>
                <c:pt idx="0">
                  <c:v>126</c:v>
                </c:pt>
                <c:pt idx="1">
                  <c:v>109</c:v>
                </c:pt>
                <c:pt idx="2">
                  <c:v>104</c:v>
                </c:pt>
                <c:pt idx="3">
                  <c:v>97</c:v>
                </c:pt>
                <c:pt idx="4">
                  <c:v>89</c:v>
                </c:pt>
                <c:pt idx="5">
                  <c:v>87</c:v>
                </c:pt>
                <c:pt idx="6">
                  <c:v>84</c:v>
                </c:pt>
                <c:pt idx="7">
                  <c:v>79</c:v>
                </c:pt>
                <c:pt idx="8">
                  <c:v>77</c:v>
                </c:pt>
                <c:pt idx="9">
                  <c:v>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13-4384-9237-2C94F4E1767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678896560"/>
        <c:axId val="1675545712"/>
      </c:barChart>
      <c:catAx>
        <c:axId val="16788965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75545712"/>
        <c:crosses val="autoZero"/>
        <c:auto val="1"/>
        <c:lblAlgn val="ctr"/>
        <c:lblOffset val="100"/>
        <c:noMultiLvlLbl val="0"/>
      </c:catAx>
      <c:valAx>
        <c:axId val="1675545712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78896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[Dashboard_Gestao_indicadores_excel.xlsx]Tabela Dinamica!Tabela dinâmica14</c:name>
    <c:fmtId val="4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200" b="1"/>
              <a:t>10 Menores Prazos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'Tabela Dinamica'!$S$2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Dinamica'!$R$3:$R$13</c:f>
              <c:strCache>
                <c:ptCount val="10"/>
                <c:pt idx="0">
                  <c:v>Iniciativa para aumentar conformidade em dados.</c:v>
                </c:pt>
                <c:pt idx="1">
                  <c:v>Iniciativa para aumentar conformidade em processos.</c:v>
                </c:pt>
                <c:pt idx="2">
                  <c:v>Iniciativa para aumentar custos em dados.</c:v>
                </c:pt>
                <c:pt idx="3">
                  <c:v>Iniciativa para aumentar qualidade em rh.</c:v>
                </c:pt>
                <c:pt idx="4">
                  <c:v>Iniciativa para melhorar custos em rh.</c:v>
                </c:pt>
                <c:pt idx="5">
                  <c:v>Iniciativa para padronizar custos em atendimento.</c:v>
                </c:pt>
                <c:pt idx="6">
                  <c:v>Iniciativa para padronizar custos em plataforma.</c:v>
                </c:pt>
                <c:pt idx="7">
                  <c:v>Iniciativa para padronizar qualidade em plataforma.</c:v>
                </c:pt>
                <c:pt idx="8">
                  <c:v>Iniciativa para padronizar visibilidade em dados.</c:v>
                </c:pt>
                <c:pt idx="9">
                  <c:v>Iniciativa para reduzir conformidade em atendimento.</c:v>
                </c:pt>
              </c:strCache>
            </c:strRef>
          </c:cat>
          <c:val>
            <c:numRef>
              <c:f>'Tabela Dinamica'!$S$3:$S$13</c:f>
              <c:numCache>
                <c:formatCode>0</c:formatCode>
                <c:ptCount val="10"/>
                <c:pt idx="0">
                  <c:v>23</c:v>
                </c:pt>
                <c:pt idx="1">
                  <c:v>34</c:v>
                </c:pt>
                <c:pt idx="2">
                  <c:v>59</c:v>
                </c:pt>
                <c:pt idx="3">
                  <c:v>40</c:v>
                </c:pt>
                <c:pt idx="4">
                  <c:v>74</c:v>
                </c:pt>
                <c:pt idx="5">
                  <c:v>72</c:v>
                </c:pt>
                <c:pt idx="6">
                  <c:v>55</c:v>
                </c:pt>
                <c:pt idx="7">
                  <c:v>18</c:v>
                </c:pt>
                <c:pt idx="8">
                  <c:v>51</c:v>
                </c:pt>
                <c:pt idx="9">
                  <c:v>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CA-44EC-B857-1184ACAD75E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587192000"/>
        <c:axId val="1675532752"/>
      </c:barChart>
      <c:catAx>
        <c:axId val="5871920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75532752"/>
        <c:crosses val="autoZero"/>
        <c:auto val="1"/>
        <c:lblAlgn val="ctr"/>
        <c:lblOffset val="100"/>
        <c:noMultiLvlLbl val="0"/>
      </c:catAx>
      <c:valAx>
        <c:axId val="1675532752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87192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241300</xdr:colOff>
      <xdr:row>2</xdr:row>
      <xdr:rowOff>12700</xdr:rowOff>
    </xdr:from>
    <xdr:to>
      <xdr:col>3</xdr:col>
      <xdr:colOff>603250</xdr:colOff>
      <xdr:row>36</xdr:row>
      <xdr:rowOff>12700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6D65D469-BE4B-D3D9-B335-CA03C3E667FD}"/>
            </a:ext>
          </a:extLst>
        </xdr:cNvPr>
        <xdr:cNvSpPr/>
      </xdr:nvSpPr>
      <xdr:spPr>
        <a:xfrm>
          <a:off x="241300" y="385233"/>
          <a:ext cx="1835150" cy="6333067"/>
        </a:xfrm>
        <a:prstGeom prst="rect">
          <a:avLst/>
        </a:prstGeom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12700</xdr:colOff>
      <xdr:row>2</xdr:row>
      <xdr:rowOff>12700</xdr:rowOff>
    </xdr:from>
    <xdr:to>
      <xdr:col>25</xdr:col>
      <xdr:colOff>596900</xdr:colOff>
      <xdr:row>17</xdr:row>
      <xdr:rowOff>177800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E569832F-FE6A-870C-6250-F0F697F9C124}"/>
            </a:ext>
          </a:extLst>
        </xdr:cNvPr>
        <xdr:cNvSpPr/>
      </xdr:nvSpPr>
      <xdr:spPr>
        <a:xfrm>
          <a:off x="2349500" y="381000"/>
          <a:ext cx="12776200" cy="2927350"/>
        </a:xfrm>
        <a:prstGeom prst="rect">
          <a:avLst/>
        </a:prstGeom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6350</xdr:colOff>
      <xdr:row>18</xdr:row>
      <xdr:rowOff>177800</xdr:rowOff>
    </xdr:from>
    <xdr:to>
      <xdr:col>15</xdr:col>
      <xdr:colOff>0</xdr:colOff>
      <xdr:row>36</xdr:row>
      <xdr:rowOff>0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9DBA41C6-F1FE-8065-23BA-690CCCA410F4}"/>
            </a:ext>
          </a:extLst>
        </xdr:cNvPr>
        <xdr:cNvSpPr/>
      </xdr:nvSpPr>
      <xdr:spPr>
        <a:xfrm>
          <a:off x="2337707" y="3525157"/>
          <a:ext cx="6071507" cy="3169557"/>
        </a:xfrm>
        <a:prstGeom prst="rect">
          <a:avLst/>
        </a:prstGeom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6350</xdr:colOff>
      <xdr:row>19</xdr:row>
      <xdr:rowOff>0</xdr:rowOff>
    </xdr:from>
    <xdr:to>
      <xdr:col>26</xdr:col>
      <xdr:colOff>0</xdr:colOff>
      <xdr:row>36</xdr:row>
      <xdr:rowOff>6350</xdr:rowOff>
    </xdr:to>
    <xdr:sp macro="" textlink="">
      <xdr:nvSpPr>
        <xdr:cNvPr id="5" name="Retângulo 4">
          <a:extLst>
            <a:ext uri="{FF2B5EF4-FFF2-40B4-BE49-F238E27FC236}">
              <a16:creationId xmlns:a16="http://schemas.microsoft.com/office/drawing/2014/main" id="{99B04B4B-7FE4-44B5-4047-DE339C62F490}"/>
            </a:ext>
          </a:extLst>
        </xdr:cNvPr>
        <xdr:cNvSpPr/>
      </xdr:nvSpPr>
      <xdr:spPr>
        <a:xfrm>
          <a:off x="8693150" y="3498850"/>
          <a:ext cx="6089650" cy="3136900"/>
        </a:xfrm>
        <a:prstGeom prst="rect">
          <a:avLst/>
        </a:prstGeom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249464</xdr:colOff>
      <xdr:row>2</xdr:row>
      <xdr:rowOff>4535</xdr:rowOff>
    </xdr:from>
    <xdr:to>
      <xdr:col>3</xdr:col>
      <xdr:colOff>598715</xdr:colOff>
      <xdr:row>4</xdr:row>
      <xdr:rowOff>4536</xdr:rowOff>
    </xdr:to>
    <xdr:sp macro="" textlink="">
      <xdr:nvSpPr>
        <xdr:cNvPr id="6" name="Retângulo 5">
          <a:extLst>
            <a:ext uri="{FF2B5EF4-FFF2-40B4-BE49-F238E27FC236}">
              <a16:creationId xmlns:a16="http://schemas.microsoft.com/office/drawing/2014/main" id="{D0A92CF7-008E-64BF-C735-358F3E6E08AB}"/>
            </a:ext>
          </a:extLst>
        </xdr:cNvPr>
        <xdr:cNvSpPr/>
      </xdr:nvSpPr>
      <xdr:spPr>
        <a:xfrm>
          <a:off x="249464" y="376464"/>
          <a:ext cx="1818822" cy="371929"/>
        </a:xfrm>
        <a:prstGeom prst="rect">
          <a:avLst/>
        </a:prstGeom>
        <a:solidFill>
          <a:schemeClr val="tx1">
            <a:lumMod val="50000"/>
            <a:lumOff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2000" b="1" u="none"/>
            <a:t>Visão</a:t>
          </a:r>
          <a:r>
            <a:rPr lang="pt-BR" sz="2000" b="1" u="none" baseline="0"/>
            <a:t> Geral</a:t>
          </a:r>
          <a:endParaRPr lang="pt-BR" sz="2000" b="1" u="none"/>
        </a:p>
      </xdr:txBody>
    </xdr:sp>
    <xdr:clientData/>
  </xdr:twoCellAnchor>
  <xdr:twoCellAnchor>
    <xdr:from>
      <xdr:col>5</xdr:col>
      <xdr:colOff>25400</xdr:colOff>
      <xdr:row>2</xdr:row>
      <xdr:rowOff>12700</xdr:rowOff>
    </xdr:from>
    <xdr:to>
      <xdr:col>25</xdr:col>
      <xdr:colOff>589643</xdr:colOff>
      <xdr:row>3</xdr:row>
      <xdr:rowOff>181428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634FE8AD-056A-E7DE-C920-4D72F971152A}"/>
            </a:ext>
          </a:extLst>
        </xdr:cNvPr>
        <xdr:cNvSpPr/>
      </xdr:nvSpPr>
      <xdr:spPr>
        <a:xfrm>
          <a:off x="2356757" y="384629"/>
          <a:ext cx="12366172" cy="354692"/>
        </a:xfrm>
        <a:prstGeom prst="rect">
          <a:avLst/>
        </a:prstGeom>
        <a:solidFill>
          <a:schemeClr val="tx1">
            <a:lumMod val="50000"/>
            <a:lumOff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2000" b="1"/>
            <a:t>PRAZOS</a:t>
          </a:r>
          <a:r>
            <a:rPr lang="pt-BR" sz="2000" b="1" baseline="0"/>
            <a:t> E DATAS</a:t>
          </a:r>
          <a:endParaRPr lang="pt-BR" sz="2000" b="1"/>
        </a:p>
      </xdr:txBody>
    </xdr:sp>
    <xdr:clientData/>
  </xdr:twoCellAnchor>
  <xdr:twoCellAnchor>
    <xdr:from>
      <xdr:col>5</xdr:col>
      <xdr:colOff>9072</xdr:colOff>
      <xdr:row>19</xdr:row>
      <xdr:rowOff>6047</xdr:rowOff>
    </xdr:from>
    <xdr:to>
      <xdr:col>14</xdr:col>
      <xdr:colOff>594178</xdr:colOff>
      <xdr:row>21</xdr:row>
      <xdr:rowOff>1511</xdr:rowOff>
    </xdr:to>
    <xdr:sp macro="" textlink="">
      <xdr:nvSpPr>
        <xdr:cNvPr id="8" name="Retângulo 7">
          <a:extLst>
            <a:ext uri="{FF2B5EF4-FFF2-40B4-BE49-F238E27FC236}">
              <a16:creationId xmlns:a16="http://schemas.microsoft.com/office/drawing/2014/main" id="{702F09A8-D60C-9C12-2FA1-D4C80C6FD2C1}"/>
            </a:ext>
          </a:extLst>
        </xdr:cNvPr>
        <xdr:cNvSpPr/>
      </xdr:nvSpPr>
      <xdr:spPr>
        <a:xfrm>
          <a:off x="2358572" y="3424464"/>
          <a:ext cx="6109606" cy="355297"/>
        </a:xfrm>
        <a:prstGeom prst="rect">
          <a:avLst/>
        </a:prstGeom>
        <a:solidFill>
          <a:schemeClr val="tx1">
            <a:lumMod val="50000"/>
            <a:lumOff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2000" b="1"/>
            <a:t>CUSTO</a:t>
          </a:r>
          <a:r>
            <a:rPr lang="pt-BR" sz="2000" b="1" baseline="0"/>
            <a:t> VS ORÇAMENTO VS SALDO (R$)</a:t>
          </a:r>
          <a:endParaRPr lang="pt-BR" sz="2000" b="1"/>
        </a:p>
      </xdr:txBody>
    </xdr:sp>
    <xdr:clientData/>
  </xdr:twoCellAnchor>
  <xdr:twoCellAnchor>
    <xdr:from>
      <xdr:col>16</xdr:col>
      <xdr:colOff>18143</xdr:colOff>
      <xdr:row>19</xdr:row>
      <xdr:rowOff>4536</xdr:rowOff>
    </xdr:from>
    <xdr:to>
      <xdr:col>26</xdr:col>
      <xdr:colOff>4536</xdr:colOff>
      <xdr:row>20</xdr:row>
      <xdr:rowOff>181428</xdr:rowOff>
    </xdr:to>
    <xdr:sp macro="" textlink="">
      <xdr:nvSpPr>
        <xdr:cNvPr id="9" name="Retângulo 8">
          <a:extLst>
            <a:ext uri="{FF2B5EF4-FFF2-40B4-BE49-F238E27FC236}">
              <a16:creationId xmlns:a16="http://schemas.microsoft.com/office/drawing/2014/main" id="{153B442F-9FC2-F75C-3911-F96D993AA2AD}"/>
            </a:ext>
          </a:extLst>
        </xdr:cNvPr>
        <xdr:cNvSpPr/>
      </xdr:nvSpPr>
      <xdr:spPr>
        <a:xfrm>
          <a:off x="8681357" y="3537857"/>
          <a:ext cx="6064250" cy="362857"/>
        </a:xfrm>
        <a:prstGeom prst="rect">
          <a:avLst/>
        </a:prstGeom>
        <a:solidFill>
          <a:schemeClr val="tx1">
            <a:lumMod val="50000"/>
            <a:lumOff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2000" b="1"/>
            <a:t>QTDE</a:t>
          </a:r>
          <a:r>
            <a:rPr lang="pt-BR" sz="2000" b="1" baseline="0"/>
            <a:t> DE PROJETOS POR PRIORIDADE</a:t>
          </a:r>
          <a:endParaRPr lang="pt-BR" sz="2000" b="1"/>
        </a:p>
      </xdr:txBody>
    </xdr:sp>
    <xdr:clientData/>
  </xdr:twoCellAnchor>
  <xdr:twoCellAnchor>
    <xdr:from>
      <xdr:col>0</xdr:col>
      <xdr:colOff>237068</xdr:colOff>
      <xdr:row>7</xdr:row>
      <xdr:rowOff>0</xdr:rowOff>
    </xdr:from>
    <xdr:to>
      <xdr:col>3</xdr:col>
      <xdr:colOff>605368</xdr:colOff>
      <xdr:row>9</xdr:row>
      <xdr:rowOff>6350</xdr:rowOff>
    </xdr:to>
    <xdr:sp macro="" textlink="A4">
      <xdr:nvSpPr>
        <xdr:cNvPr id="10" name="Retângulo 9">
          <a:extLst>
            <a:ext uri="{FF2B5EF4-FFF2-40B4-BE49-F238E27FC236}">
              <a16:creationId xmlns:a16="http://schemas.microsoft.com/office/drawing/2014/main" id="{FDB44E05-F7E3-22D6-CF92-B31941EA09A4}"/>
            </a:ext>
          </a:extLst>
        </xdr:cNvPr>
        <xdr:cNvSpPr/>
      </xdr:nvSpPr>
      <xdr:spPr>
        <a:xfrm>
          <a:off x="237068" y="1303867"/>
          <a:ext cx="1841500" cy="37888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AB4455B3-F6EC-4843-91F0-BCBF69F54A23}" type="TxLink">
            <a:rPr lang="en-US" sz="20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 </a:t>
          </a:fld>
          <a:r>
            <a:rPr lang="pt-BR" sz="20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1000</a:t>
          </a:r>
          <a:r>
            <a:rPr lang="pt-BR" sz="2000">
              <a:effectLst/>
            </a:rPr>
            <a:t> </a:t>
          </a:r>
          <a:endParaRPr lang="pt-BR" sz="2000"/>
        </a:p>
      </xdr:txBody>
    </xdr:sp>
    <xdr:clientData/>
  </xdr:twoCellAnchor>
  <xdr:twoCellAnchor>
    <xdr:from>
      <xdr:col>0</xdr:col>
      <xdr:colOff>245533</xdr:colOff>
      <xdr:row>5</xdr:row>
      <xdr:rowOff>139700</xdr:rowOff>
    </xdr:from>
    <xdr:to>
      <xdr:col>3</xdr:col>
      <xdr:colOff>603250</xdr:colOff>
      <xdr:row>7</xdr:row>
      <xdr:rowOff>0</xdr:rowOff>
    </xdr:to>
    <xdr:sp macro="" textlink="">
      <xdr:nvSpPr>
        <xdr:cNvPr id="11" name="Retângulo 10">
          <a:extLst>
            <a:ext uri="{FF2B5EF4-FFF2-40B4-BE49-F238E27FC236}">
              <a16:creationId xmlns:a16="http://schemas.microsoft.com/office/drawing/2014/main" id="{6BDE17D5-F8FE-C8D0-273F-FB13F11DE03E}"/>
            </a:ext>
          </a:extLst>
        </xdr:cNvPr>
        <xdr:cNvSpPr/>
      </xdr:nvSpPr>
      <xdr:spPr>
        <a:xfrm>
          <a:off x="245533" y="1071033"/>
          <a:ext cx="1830917" cy="232834"/>
        </a:xfrm>
        <a:prstGeom prst="rect">
          <a:avLst/>
        </a:prstGeom>
        <a:ln/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="1">
              <a:solidFill>
                <a:schemeClr val="tx1"/>
              </a:solidFill>
            </a:rPr>
            <a:t>TOTAL DE PROJETOS</a:t>
          </a:r>
        </a:p>
      </xdr:txBody>
    </xdr:sp>
    <xdr:clientData/>
  </xdr:twoCellAnchor>
  <xdr:twoCellAnchor>
    <xdr:from>
      <xdr:col>0</xdr:col>
      <xdr:colOff>241300</xdr:colOff>
      <xdr:row>9</xdr:row>
      <xdr:rowOff>12700</xdr:rowOff>
    </xdr:from>
    <xdr:to>
      <xdr:col>3</xdr:col>
      <xdr:colOff>599017</xdr:colOff>
      <xdr:row>10</xdr:row>
      <xdr:rowOff>59267</xdr:rowOff>
    </xdr:to>
    <xdr:sp macro="" textlink="">
      <xdr:nvSpPr>
        <xdr:cNvPr id="14" name="Retângulo 13">
          <a:extLst>
            <a:ext uri="{FF2B5EF4-FFF2-40B4-BE49-F238E27FC236}">
              <a16:creationId xmlns:a16="http://schemas.microsoft.com/office/drawing/2014/main" id="{A5E213BF-877F-CC26-9C86-2EE801CF8122}"/>
            </a:ext>
          </a:extLst>
        </xdr:cNvPr>
        <xdr:cNvSpPr/>
      </xdr:nvSpPr>
      <xdr:spPr>
        <a:xfrm>
          <a:off x="241300" y="1689100"/>
          <a:ext cx="1830917" cy="232834"/>
        </a:xfrm>
        <a:prstGeom prst="rect">
          <a:avLst/>
        </a:prstGeom>
        <a:ln/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="1">
              <a:solidFill>
                <a:schemeClr val="tx1"/>
              </a:solidFill>
            </a:rPr>
            <a:t>PROJETOS</a:t>
          </a:r>
          <a:r>
            <a:rPr lang="pt-BR" sz="1100" b="1" baseline="0">
              <a:solidFill>
                <a:schemeClr val="tx1"/>
              </a:solidFill>
            </a:rPr>
            <a:t> CONCLUIDOS</a:t>
          </a:r>
          <a:endParaRPr lang="pt-B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249767</xdr:colOff>
      <xdr:row>12</xdr:row>
      <xdr:rowOff>80434</xdr:rowOff>
    </xdr:from>
    <xdr:to>
      <xdr:col>3</xdr:col>
      <xdr:colOff>607484</xdr:colOff>
      <xdr:row>13</xdr:row>
      <xdr:rowOff>127001</xdr:rowOff>
    </xdr:to>
    <xdr:sp macro="" textlink="">
      <xdr:nvSpPr>
        <xdr:cNvPr id="16" name="Retângulo 15">
          <a:extLst>
            <a:ext uri="{FF2B5EF4-FFF2-40B4-BE49-F238E27FC236}">
              <a16:creationId xmlns:a16="http://schemas.microsoft.com/office/drawing/2014/main" id="{451C68D4-2995-9E26-1D7B-EBDAD10B4AF6}"/>
            </a:ext>
          </a:extLst>
        </xdr:cNvPr>
        <xdr:cNvSpPr/>
      </xdr:nvSpPr>
      <xdr:spPr>
        <a:xfrm>
          <a:off x="249767" y="2315634"/>
          <a:ext cx="1830917" cy="232834"/>
        </a:xfrm>
        <a:prstGeom prst="rect">
          <a:avLst/>
        </a:prstGeom>
        <a:ln/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="1">
              <a:solidFill>
                <a:schemeClr val="tx1"/>
              </a:solidFill>
            </a:rPr>
            <a:t>% DE CONCLUSÃO</a:t>
          </a:r>
        </a:p>
      </xdr:txBody>
    </xdr:sp>
    <xdr:clientData/>
  </xdr:twoCellAnchor>
  <xdr:twoCellAnchor>
    <xdr:from>
      <xdr:col>1</xdr:col>
      <xdr:colOff>55034</xdr:colOff>
      <xdr:row>10</xdr:row>
      <xdr:rowOff>55034</xdr:rowOff>
    </xdr:from>
    <xdr:to>
      <xdr:col>4</xdr:col>
      <xdr:colOff>67734</xdr:colOff>
      <xdr:row>12</xdr:row>
      <xdr:rowOff>61384</xdr:rowOff>
    </xdr:to>
    <xdr:sp macro="" textlink="">
      <xdr:nvSpPr>
        <xdr:cNvPr id="20" name="Retângulo 19">
          <a:extLst>
            <a:ext uri="{FF2B5EF4-FFF2-40B4-BE49-F238E27FC236}">
              <a16:creationId xmlns:a16="http://schemas.microsoft.com/office/drawing/2014/main" id="{2261FAE6-31E7-7092-77A6-31622F94D94D}"/>
            </a:ext>
          </a:extLst>
        </xdr:cNvPr>
        <xdr:cNvSpPr/>
      </xdr:nvSpPr>
      <xdr:spPr>
        <a:xfrm>
          <a:off x="309034" y="1917701"/>
          <a:ext cx="1841500" cy="37888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r>
            <a:rPr lang="en-US" sz="2000"/>
            <a:t> </a:t>
          </a:r>
        </a:p>
      </xdr:txBody>
    </xdr:sp>
    <xdr:clientData/>
  </xdr:twoCellAnchor>
  <xdr:twoCellAnchor>
    <xdr:from>
      <xdr:col>0</xdr:col>
      <xdr:colOff>249768</xdr:colOff>
      <xdr:row>10</xdr:row>
      <xdr:rowOff>76200</xdr:rowOff>
    </xdr:from>
    <xdr:to>
      <xdr:col>4</xdr:col>
      <xdr:colOff>8468</xdr:colOff>
      <xdr:row>12</xdr:row>
      <xdr:rowOff>82550</xdr:rowOff>
    </xdr:to>
    <xdr:sp macro="" textlink="'Tabela Dinamica'!A6">
      <xdr:nvSpPr>
        <xdr:cNvPr id="22" name="Retângulo 21">
          <a:extLst>
            <a:ext uri="{FF2B5EF4-FFF2-40B4-BE49-F238E27FC236}">
              <a16:creationId xmlns:a16="http://schemas.microsoft.com/office/drawing/2014/main" id="{974B741D-DA9B-99A7-D321-BD98EBC0B53F}"/>
            </a:ext>
          </a:extLst>
        </xdr:cNvPr>
        <xdr:cNvSpPr/>
      </xdr:nvSpPr>
      <xdr:spPr>
        <a:xfrm>
          <a:off x="249768" y="1938867"/>
          <a:ext cx="1841500" cy="37888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82F1C7EE-11FE-44E9-9533-732AD68C5EF8}" type="TxLink">
            <a:rPr lang="en-US" sz="20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21</a:t>
          </a:fld>
          <a:endParaRPr lang="pt-BR" sz="2000" b="1"/>
        </a:p>
      </xdr:txBody>
    </xdr:sp>
    <xdr:clientData/>
  </xdr:twoCellAnchor>
  <xdr:twoCellAnchor>
    <xdr:from>
      <xdr:col>0</xdr:col>
      <xdr:colOff>245534</xdr:colOff>
      <xdr:row>15</xdr:row>
      <xdr:rowOff>156634</xdr:rowOff>
    </xdr:from>
    <xdr:to>
      <xdr:col>3</xdr:col>
      <xdr:colOff>603251</xdr:colOff>
      <xdr:row>17</xdr:row>
      <xdr:rowOff>16935</xdr:rowOff>
    </xdr:to>
    <xdr:sp macro="" textlink="">
      <xdr:nvSpPr>
        <xdr:cNvPr id="23" name="Retângulo 22">
          <a:extLst>
            <a:ext uri="{FF2B5EF4-FFF2-40B4-BE49-F238E27FC236}">
              <a16:creationId xmlns:a16="http://schemas.microsoft.com/office/drawing/2014/main" id="{9C02A605-683B-4B05-1F0D-512E781AF65F}"/>
            </a:ext>
          </a:extLst>
        </xdr:cNvPr>
        <xdr:cNvSpPr/>
      </xdr:nvSpPr>
      <xdr:spPr>
        <a:xfrm>
          <a:off x="245534" y="2950634"/>
          <a:ext cx="1830917" cy="232834"/>
        </a:xfrm>
        <a:prstGeom prst="rect">
          <a:avLst/>
        </a:prstGeom>
        <a:ln/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="1">
              <a:solidFill>
                <a:schemeClr val="tx1"/>
              </a:solidFill>
            </a:rPr>
            <a:t>ORÇAMENTO APROVADO</a:t>
          </a:r>
        </a:p>
      </xdr:txBody>
    </xdr:sp>
    <xdr:clientData/>
  </xdr:twoCellAnchor>
  <xdr:twoCellAnchor>
    <xdr:from>
      <xdr:col>0</xdr:col>
      <xdr:colOff>245534</xdr:colOff>
      <xdr:row>19</xdr:row>
      <xdr:rowOff>46567</xdr:rowOff>
    </xdr:from>
    <xdr:to>
      <xdr:col>3</xdr:col>
      <xdr:colOff>603251</xdr:colOff>
      <xdr:row>20</xdr:row>
      <xdr:rowOff>93135</xdr:rowOff>
    </xdr:to>
    <xdr:sp macro="" textlink="">
      <xdr:nvSpPr>
        <xdr:cNvPr id="26" name="Retângulo 25">
          <a:extLst>
            <a:ext uri="{FF2B5EF4-FFF2-40B4-BE49-F238E27FC236}">
              <a16:creationId xmlns:a16="http://schemas.microsoft.com/office/drawing/2014/main" id="{482529C1-1315-B1D4-B61F-3962077260E9}"/>
            </a:ext>
          </a:extLst>
        </xdr:cNvPr>
        <xdr:cNvSpPr/>
      </xdr:nvSpPr>
      <xdr:spPr>
        <a:xfrm>
          <a:off x="245534" y="3585634"/>
          <a:ext cx="1830917" cy="232834"/>
        </a:xfrm>
        <a:prstGeom prst="rect">
          <a:avLst/>
        </a:prstGeom>
        <a:ln/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="1">
              <a:solidFill>
                <a:schemeClr val="tx1"/>
              </a:solidFill>
            </a:rPr>
            <a:t>CUSTO</a:t>
          </a:r>
          <a:r>
            <a:rPr lang="pt-BR" sz="1100" b="1" baseline="0">
              <a:solidFill>
                <a:schemeClr val="tx1"/>
              </a:solidFill>
            </a:rPr>
            <a:t> TOTAL</a:t>
          </a:r>
          <a:endParaRPr lang="pt-B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224369</xdr:colOff>
      <xdr:row>13</xdr:row>
      <xdr:rowOff>139700</xdr:rowOff>
    </xdr:from>
    <xdr:to>
      <xdr:col>3</xdr:col>
      <xdr:colOff>592669</xdr:colOff>
      <xdr:row>15</xdr:row>
      <xdr:rowOff>146050</xdr:rowOff>
    </xdr:to>
    <xdr:sp macro="" textlink="'Tabela Dinamica'!A12">
      <xdr:nvSpPr>
        <xdr:cNvPr id="30" name="Retângulo 29">
          <a:extLst>
            <a:ext uri="{FF2B5EF4-FFF2-40B4-BE49-F238E27FC236}">
              <a16:creationId xmlns:a16="http://schemas.microsoft.com/office/drawing/2014/main" id="{6BCA5908-E85F-AC9B-F11B-6C1B28D2213D}"/>
            </a:ext>
          </a:extLst>
        </xdr:cNvPr>
        <xdr:cNvSpPr/>
      </xdr:nvSpPr>
      <xdr:spPr>
        <a:xfrm>
          <a:off x="224369" y="2561167"/>
          <a:ext cx="1841500" cy="37888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A502B372-A351-49F3-BCEC-BD7F03EF99FB}" type="TxLink">
            <a:rPr lang="en-US" sz="20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20%</a:t>
          </a:fld>
          <a:endParaRPr lang="pt-BR" sz="2000" b="1"/>
        </a:p>
      </xdr:txBody>
    </xdr:sp>
    <xdr:clientData/>
  </xdr:twoCellAnchor>
  <xdr:twoCellAnchor>
    <xdr:from>
      <xdr:col>0</xdr:col>
      <xdr:colOff>84666</xdr:colOff>
      <xdr:row>17</xdr:row>
      <xdr:rowOff>33867</xdr:rowOff>
    </xdr:from>
    <xdr:to>
      <xdr:col>4</xdr:col>
      <xdr:colOff>143933</xdr:colOff>
      <xdr:row>19</xdr:row>
      <xdr:rowOff>40216</xdr:rowOff>
    </xdr:to>
    <xdr:sp macro="" textlink="'Tabela Dinamica'!A14">
      <xdr:nvSpPr>
        <xdr:cNvPr id="31" name="Retângulo 30">
          <a:extLst>
            <a:ext uri="{FF2B5EF4-FFF2-40B4-BE49-F238E27FC236}">
              <a16:creationId xmlns:a16="http://schemas.microsoft.com/office/drawing/2014/main" id="{3FE8A8D9-30AC-712F-373E-5D413062D1F5}"/>
            </a:ext>
          </a:extLst>
        </xdr:cNvPr>
        <xdr:cNvSpPr/>
      </xdr:nvSpPr>
      <xdr:spPr>
        <a:xfrm>
          <a:off x="84666" y="3200400"/>
          <a:ext cx="2142067" cy="37888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593BD6FE-AE92-4469-9496-E52EC3680FE3}" type="TxLink">
            <a:rPr lang="en-US" sz="16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R$ 15.254.571,34</a:t>
          </a:fld>
          <a:endParaRPr lang="pt-BR" sz="1600" b="1"/>
        </a:p>
      </xdr:txBody>
    </xdr:sp>
    <xdr:clientData/>
  </xdr:twoCellAnchor>
  <xdr:twoCellAnchor>
    <xdr:from>
      <xdr:col>1</xdr:col>
      <xdr:colOff>12703</xdr:colOff>
      <xdr:row>20</xdr:row>
      <xdr:rowOff>118533</xdr:rowOff>
    </xdr:from>
    <xdr:to>
      <xdr:col>3</xdr:col>
      <xdr:colOff>592667</xdr:colOff>
      <xdr:row>22</xdr:row>
      <xdr:rowOff>124882</xdr:rowOff>
    </xdr:to>
    <xdr:sp macro="" textlink="'Tabela Dinamica'!A18">
      <xdr:nvSpPr>
        <xdr:cNvPr id="32" name="Retângulo 31">
          <a:extLst>
            <a:ext uri="{FF2B5EF4-FFF2-40B4-BE49-F238E27FC236}">
              <a16:creationId xmlns:a16="http://schemas.microsoft.com/office/drawing/2014/main" id="{00785C80-1FA3-FD25-7B3F-22E4FB61C214}"/>
            </a:ext>
          </a:extLst>
        </xdr:cNvPr>
        <xdr:cNvSpPr/>
      </xdr:nvSpPr>
      <xdr:spPr>
        <a:xfrm>
          <a:off x="266703" y="3843866"/>
          <a:ext cx="1799164" cy="37888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A7A24292-63E9-4482-8992-DC297AEAB9CF}" type="TxLink">
            <a:rPr lang="en-US" sz="16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R$ 8.670.485,11</a:t>
          </a:fld>
          <a:endParaRPr lang="pt-BR" sz="1600" b="1"/>
        </a:p>
      </xdr:txBody>
    </xdr:sp>
    <xdr:clientData/>
  </xdr:twoCellAnchor>
  <xdr:twoCellAnchor>
    <xdr:from>
      <xdr:col>0</xdr:col>
      <xdr:colOff>237068</xdr:colOff>
      <xdr:row>22</xdr:row>
      <xdr:rowOff>156634</xdr:rowOff>
    </xdr:from>
    <xdr:to>
      <xdr:col>3</xdr:col>
      <xdr:colOff>594785</xdr:colOff>
      <xdr:row>24</xdr:row>
      <xdr:rowOff>16935</xdr:rowOff>
    </xdr:to>
    <xdr:sp macro="" textlink="">
      <xdr:nvSpPr>
        <xdr:cNvPr id="33" name="Retângulo 32">
          <a:extLst>
            <a:ext uri="{FF2B5EF4-FFF2-40B4-BE49-F238E27FC236}">
              <a16:creationId xmlns:a16="http://schemas.microsoft.com/office/drawing/2014/main" id="{9BEEDEAC-F3FC-505D-5800-F6ADE29804AF}"/>
            </a:ext>
          </a:extLst>
        </xdr:cNvPr>
        <xdr:cNvSpPr/>
      </xdr:nvSpPr>
      <xdr:spPr>
        <a:xfrm>
          <a:off x="237068" y="4254501"/>
          <a:ext cx="1830917" cy="232834"/>
        </a:xfrm>
        <a:prstGeom prst="rect">
          <a:avLst/>
        </a:prstGeom>
        <a:ln/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="1">
              <a:solidFill>
                <a:schemeClr val="tx1"/>
              </a:solidFill>
            </a:rPr>
            <a:t>SALDO</a:t>
          </a:r>
        </a:p>
      </xdr:txBody>
    </xdr:sp>
    <xdr:clientData/>
  </xdr:twoCellAnchor>
  <xdr:twoCellAnchor>
    <xdr:from>
      <xdr:col>1</xdr:col>
      <xdr:colOff>3</xdr:colOff>
      <xdr:row>24</xdr:row>
      <xdr:rowOff>33866</xdr:rowOff>
    </xdr:from>
    <xdr:to>
      <xdr:col>3</xdr:col>
      <xdr:colOff>579967</xdr:colOff>
      <xdr:row>26</xdr:row>
      <xdr:rowOff>40216</xdr:rowOff>
    </xdr:to>
    <xdr:sp macro="" textlink="'Tabela Dinamica'!A24">
      <xdr:nvSpPr>
        <xdr:cNvPr id="34" name="Retângulo 33">
          <a:extLst>
            <a:ext uri="{FF2B5EF4-FFF2-40B4-BE49-F238E27FC236}">
              <a16:creationId xmlns:a16="http://schemas.microsoft.com/office/drawing/2014/main" id="{268D544A-1EA6-8196-4AAB-4966AAB37EDB}"/>
            </a:ext>
          </a:extLst>
        </xdr:cNvPr>
        <xdr:cNvSpPr/>
      </xdr:nvSpPr>
      <xdr:spPr>
        <a:xfrm>
          <a:off x="254003" y="4504266"/>
          <a:ext cx="1799164" cy="37888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A2E7473C-9F85-4AC8-AF95-C8F90ED39C34}" type="TxLink">
            <a:rPr lang="en-US" sz="16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R$ 6.584.086,23</a:t>
          </a:fld>
          <a:endParaRPr lang="pt-BR" sz="1600" b="1"/>
        </a:p>
      </xdr:txBody>
    </xdr:sp>
    <xdr:clientData/>
  </xdr:twoCellAnchor>
  <xdr:twoCellAnchor>
    <xdr:from>
      <xdr:col>0</xdr:col>
      <xdr:colOff>245535</xdr:colOff>
      <xdr:row>26</xdr:row>
      <xdr:rowOff>50801</xdr:rowOff>
    </xdr:from>
    <xdr:to>
      <xdr:col>3</xdr:col>
      <xdr:colOff>603252</xdr:colOff>
      <xdr:row>27</xdr:row>
      <xdr:rowOff>97368</xdr:rowOff>
    </xdr:to>
    <xdr:sp macro="" textlink="">
      <xdr:nvSpPr>
        <xdr:cNvPr id="35" name="Retângulo 34">
          <a:extLst>
            <a:ext uri="{FF2B5EF4-FFF2-40B4-BE49-F238E27FC236}">
              <a16:creationId xmlns:a16="http://schemas.microsoft.com/office/drawing/2014/main" id="{31E8B61E-B50E-1145-488D-88261CB45D69}"/>
            </a:ext>
          </a:extLst>
        </xdr:cNvPr>
        <xdr:cNvSpPr/>
      </xdr:nvSpPr>
      <xdr:spPr>
        <a:xfrm>
          <a:off x="245535" y="4893734"/>
          <a:ext cx="1830917" cy="232834"/>
        </a:xfrm>
        <a:prstGeom prst="rect">
          <a:avLst/>
        </a:prstGeom>
        <a:ln/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="1">
              <a:solidFill>
                <a:schemeClr val="tx1"/>
              </a:solidFill>
            </a:rPr>
            <a:t>RETORNO ESPERADO</a:t>
          </a:r>
        </a:p>
      </xdr:txBody>
    </xdr:sp>
    <xdr:clientData/>
  </xdr:twoCellAnchor>
  <xdr:twoCellAnchor>
    <xdr:from>
      <xdr:col>1</xdr:col>
      <xdr:colOff>8470</xdr:colOff>
      <xdr:row>27</xdr:row>
      <xdr:rowOff>114299</xdr:rowOff>
    </xdr:from>
    <xdr:to>
      <xdr:col>3</xdr:col>
      <xdr:colOff>588434</xdr:colOff>
      <xdr:row>29</xdr:row>
      <xdr:rowOff>120649</xdr:rowOff>
    </xdr:to>
    <xdr:sp macro="" textlink="'Tabela Dinamica'!A26">
      <xdr:nvSpPr>
        <xdr:cNvPr id="36" name="Retângulo 35">
          <a:extLst>
            <a:ext uri="{FF2B5EF4-FFF2-40B4-BE49-F238E27FC236}">
              <a16:creationId xmlns:a16="http://schemas.microsoft.com/office/drawing/2014/main" id="{C8EB20B6-1E26-5660-FCC6-E6466FB10825}"/>
            </a:ext>
          </a:extLst>
        </xdr:cNvPr>
        <xdr:cNvSpPr/>
      </xdr:nvSpPr>
      <xdr:spPr>
        <a:xfrm>
          <a:off x="262470" y="5143499"/>
          <a:ext cx="1799164" cy="37888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A686630A-E1FA-4BEE-A0AD-08E725B4FACD}" type="TxLink">
            <a:rPr lang="en-US" sz="16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R$ 18.216.619,84</a:t>
          </a:fld>
          <a:endParaRPr lang="pt-BR" sz="1600" b="1"/>
        </a:p>
      </xdr:txBody>
    </xdr:sp>
    <xdr:clientData/>
  </xdr:twoCellAnchor>
  <xdr:twoCellAnchor>
    <xdr:from>
      <xdr:col>0</xdr:col>
      <xdr:colOff>237068</xdr:colOff>
      <xdr:row>29</xdr:row>
      <xdr:rowOff>122769</xdr:rowOff>
    </xdr:from>
    <xdr:to>
      <xdr:col>3</xdr:col>
      <xdr:colOff>594785</xdr:colOff>
      <xdr:row>30</xdr:row>
      <xdr:rowOff>169336</xdr:rowOff>
    </xdr:to>
    <xdr:sp macro="" textlink="">
      <xdr:nvSpPr>
        <xdr:cNvPr id="37" name="Retângulo 36">
          <a:extLst>
            <a:ext uri="{FF2B5EF4-FFF2-40B4-BE49-F238E27FC236}">
              <a16:creationId xmlns:a16="http://schemas.microsoft.com/office/drawing/2014/main" id="{6A3AAD2E-7A9A-4B8F-FAF5-9D1D3FF9A8E6}"/>
            </a:ext>
          </a:extLst>
        </xdr:cNvPr>
        <xdr:cNvSpPr/>
      </xdr:nvSpPr>
      <xdr:spPr>
        <a:xfrm>
          <a:off x="237068" y="5524502"/>
          <a:ext cx="1830917" cy="232834"/>
        </a:xfrm>
        <a:prstGeom prst="rect">
          <a:avLst/>
        </a:prstGeom>
        <a:ln/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="1">
              <a:solidFill>
                <a:schemeClr val="tx1"/>
              </a:solidFill>
            </a:rPr>
            <a:t>RETORNO ESPERADO</a:t>
          </a:r>
        </a:p>
      </xdr:txBody>
    </xdr:sp>
    <xdr:clientData/>
  </xdr:twoCellAnchor>
  <xdr:twoCellAnchor>
    <xdr:from>
      <xdr:col>1</xdr:col>
      <xdr:colOff>3</xdr:colOff>
      <xdr:row>31</xdr:row>
      <xdr:rowOff>12698</xdr:rowOff>
    </xdr:from>
    <xdr:to>
      <xdr:col>3</xdr:col>
      <xdr:colOff>579967</xdr:colOff>
      <xdr:row>33</xdr:row>
      <xdr:rowOff>19048</xdr:rowOff>
    </xdr:to>
    <xdr:sp macro="" textlink="'Tabela Dinamica'!A32">
      <xdr:nvSpPr>
        <xdr:cNvPr id="38" name="Retângulo 37">
          <a:extLst>
            <a:ext uri="{FF2B5EF4-FFF2-40B4-BE49-F238E27FC236}">
              <a16:creationId xmlns:a16="http://schemas.microsoft.com/office/drawing/2014/main" id="{B7C909DD-37EF-F8D6-C74F-E3F39B8FE3F1}"/>
            </a:ext>
          </a:extLst>
        </xdr:cNvPr>
        <xdr:cNvSpPr/>
      </xdr:nvSpPr>
      <xdr:spPr>
        <a:xfrm>
          <a:off x="254003" y="5786965"/>
          <a:ext cx="1799164" cy="37888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2E9A8007-FDCA-4DC3-90AE-BDC34C9B065B}" type="TxLink">
            <a:rPr lang="en-US" sz="20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2,10</a:t>
          </a:fld>
          <a:endParaRPr lang="pt-BR" sz="2000" b="1" u="none"/>
        </a:p>
      </xdr:txBody>
    </xdr:sp>
    <xdr:clientData/>
  </xdr:twoCellAnchor>
  <xdr:twoCellAnchor editAs="oneCell">
    <xdr:from>
      <xdr:col>27</xdr:col>
      <xdr:colOff>83609</xdr:colOff>
      <xdr:row>4</xdr:row>
      <xdr:rowOff>100541</xdr:rowOff>
    </xdr:from>
    <xdr:to>
      <xdr:col>32</xdr:col>
      <xdr:colOff>74083</xdr:colOff>
      <xdr:row>29</xdr:row>
      <xdr:rowOff>156633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9" name="area">
              <a:extLst>
                <a:ext uri="{FF2B5EF4-FFF2-40B4-BE49-F238E27FC236}">
                  <a16:creationId xmlns:a16="http://schemas.microsoft.com/office/drawing/2014/main" id="{35AE78BC-13E8-42CA-91BA-570755EC64D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rea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974359" y="926041"/>
              <a:ext cx="3006724" cy="521546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5</xdr:col>
      <xdr:colOff>116417</xdr:colOff>
      <xdr:row>21</xdr:row>
      <xdr:rowOff>52917</xdr:rowOff>
    </xdr:from>
    <xdr:to>
      <xdr:col>14</xdr:col>
      <xdr:colOff>518583</xdr:colOff>
      <xdr:row>35</xdr:row>
      <xdr:rowOff>65617</xdr:rowOff>
    </xdr:to>
    <xdr:graphicFrame macro="">
      <xdr:nvGraphicFramePr>
        <xdr:cNvPr id="41" name="Gráfico 40">
          <a:extLst>
            <a:ext uri="{FF2B5EF4-FFF2-40B4-BE49-F238E27FC236}">
              <a16:creationId xmlns:a16="http://schemas.microsoft.com/office/drawing/2014/main" id="{59687F71-FAC2-4F80-AEC0-3FB4225C27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142875</xdr:colOff>
      <xdr:row>21</xdr:row>
      <xdr:rowOff>63500</xdr:rowOff>
    </xdr:from>
    <xdr:to>
      <xdr:col>25</xdr:col>
      <xdr:colOff>523874</xdr:colOff>
      <xdr:row>35</xdr:row>
      <xdr:rowOff>139700</xdr:rowOff>
    </xdr:to>
    <xdr:graphicFrame macro="">
      <xdr:nvGraphicFramePr>
        <xdr:cNvPr id="42" name="Gráfico 41">
          <a:extLst>
            <a:ext uri="{FF2B5EF4-FFF2-40B4-BE49-F238E27FC236}">
              <a16:creationId xmlns:a16="http://schemas.microsoft.com/office/drawing/2014/main" id="{38C6C502-E5BF-42FA-8AFE-6B5A8B5235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108857</xdr:colOff>
      <xdr:row>4</xdr:row>
      <xdr:rowOff>36286</xdr:rowOff>
    </xdr:from>
    <xdr:to>
      <xdr:col>13</xdr:col>
      <xdr:colOff>408214</xdr:colOff>
      <xdr:row>17</xdr:row>
      <xdr:rowOff>108857</xdr:rowOff>
    </xdr:to>
    <xdr:graphicFrame macro="">
      <xdr:nvGraphicFramePr>
        <xdr:cNvPr id="43" name="Gráfico 42">
          <a:extLst>
            <a:ext uri="{FF2B5EF4-FFF2-40B4-BE49-F238E27FC236}">
              <a16:creationId xmlns:a16="http://schemas.microsoft.com/office/drawing/2014/main" id="{4FDF15A7-9CDE-435B-82F7-21DD430E40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453571</xdr:colOff>
      <xdr:row>4</xdr:row>
      <xdr:rowOff>27215</xdr:rowOff>
    </xdr:from>
    <xdr:to>
      <xdr:col>20</xdr:col>
      <xdr:colOff>254000</xdr:colOff>
      <xdr:row>17</xdr:row>
      <xdr:rowOff>90714</xdr:rowOff>
    </xdr:to>
    <xdr:graphicFrame macro="">
      <xdr:nvGraphicFramePr>
        <xdr:cNvPr id="44" name="Gráfico 43">
          <a:extLst>
            <a:ext uri="{FF2B5EF4-FFF2-40B4-BE49-F238E27FC236}">
              <a16:creationId xmlns:a16="http://schemas.microsoft.com/office/drawing/2014/main" id="{B2FE2EDC-550C-4112-BDE1-73FBD00A0E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20</xdr:col>
      <xdr:colOff>290286</xdr:colOff>
      <xdr:row>4</xdr:row>
      <xdr:rowOff>36287</xdr:rowOff>
    </xdr:from>
    <xdr:to>
      <xdr:col>25</xdr:col>
      <xdr:colOff>562429</xdr:colOff>
      <xdr:row>17</xdr:row>
      <xdr:rowOff>90714</xdr:rowOff>
    </xdr:to>
    <xdr:graphicFrame macro="">
      <xdr:nvGraphicFramePr>
        <xdr:cNvPr id="45" name="Gráfico 44">
          <a:extLst>
            <a:ext uri="{FF2B5EF4-FFF2-40B4-BE49-F238E27FC236}">
              <a16:creationId xmlns:a16="http://schemas.microsoft.com/office/drawing/2014/main" id="{DA1F67B6-1C33-4664-BADC-4DA1F754AF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H:\Meu%20Drive\Planilhas%20Prontas\Planilha%20de%20controle%20de%20entregas%20e%20pedidos%201.0.xlsx" TargetMode="External"/><Relationship Id="rId1" Type="http://schemas.openxmlformats.org/officeDocument/2006/relationships/externalLinkPath" Target="file:///H:\Meu%20Drive\Planilhas%20Prontas\Planilha%20de%20controle%20de%20entregas%20e%20pedidos%201.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LIENTES"/>
      <sheetName val="ENTREGADORES"/>
      <sheetName val="ENTREGAS"/>
      <sheetName val="PESQUISA"/>
      <sheetName val="DASHBOARD"/>
      <sheetName val="@ExcelenteJoao"/>
      <sheetName val="imagens e instruções"/>
      <sheetName val="tabelas dinamicas"/>
      <sheetName val="Planilha de controle de entrega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250.857963310184" createdVersion="8" refreshedVersion="8" minRefreshableVersion="3" recordCount="1000" xr:uid="{874F5E3F-A2BA-40C8-8C7C-77652EA853CC}">
  <cacheSource type="worksheet">
    <worksheetSource name="Tabela1"/>
  </cacheSource>
  <cacheFields count="23">
    <cacheField name="projeto_id" numFmtId="0">
      <sharedItems/>
    </cacheField>
    <cacheField name="nome_projeto" numFmtId="0">
      <sharedItems/>
    </cacheField>
    <cacheField name="descricao_curta" numFmtId="0">
      <sharedItems count="247">
        <s v="Iniciativa para reduzir visibilidade em dados."/>
        <s v="Iniciativa para padronizar conformidade em processos."/>
        <s v="Iniciativa para aumentar tempo de ciclo em rh."/>
        <s v="Iniciativa para melhorar qualidade em processos."/>
        <s v="Iniciativa para integrar visibilidade em operações."/>
        <s v="Iniciativa para integrar qualidade em plataforma."/>
        <s v="Iniciativa para reduzir conformidade em relatórios."/>
        <s v="Iniciativa para padronizar conformidade em relatórios."/>
        <s v="Iniciativa para integrar conformidade em supply."/>
        <s v="Iniciativa para padronizar visibilidade em segurança."/>
        <s v="Iniciativa para padronizar tempo de ciclo em segurança."/>
        <s v="Iniciativa para padronizar custos em rh."/>
        <s v="Iniciativa para melhorar conformidade em supply."/>
        <s v="Iniciativa para integrar conformidade em financeiro."/>
        <s v="Iniciativa para reduzir conformidade em plataforma."/>
        <s v="Iniciativa para reduzir qualidade em plataforma."/>
        <s v="Iniciativa para melhorar qualidade em atendimento."/>
        <s v="Iniciativa para reduzir qualidade em financeiro."/>
        <s v="Iniciativa para integrar visibilidade em supply."/>
        <s v="Iniciativa para padronizar custos em atendimento."/>
        <s v="Iniciativa para integrar qualidade em atendimento."/>
        <s v="Iniciativa para melhorar custos em segurança."/>
        <s v="Iniciativa para integrar visibilidade em rh."/>
        <s v="Iniciativa para integrar custos em supply."/>
        <s v="Iniciativa para padronizar custos em operações."/>
        <s v="Iniciativa para padronizar tempo de ciclo em relatórios."/>
        <s v="Iniciativa para padronizar qualidade em financeiro."/>
        <s v="Iniciativa para reduzir visibilidade em operações."/>
        <s v="Iniciativa para aumentar conformidade em plataforma."/>
        <s v="Iniciativa para integrar qualidade em financeiro."/>
        <s v="Iniciativa para melhorar custos em rh."/>
        <s v="Iniciativa para melhorar conformidade em segurança."/>
        <s v="Iniciativa para melhorar conformidade em atendimento."/>
        <s v="Iniciativa para melhorar conformidade em financeiro."/>
        <s v="Iniciativa para integrar custos em atendimento."/>
        <s v="Iniciativa para aumentar qualidade em processos."/>
        <s v="Iniciativa para aumentar conformidade em processos."/>
        <s v="Iniciativa para integrar conformidade em plataforma."/>
        <s v="Iniciativa para melhorar tempo de ciclo em supply."/>
        <s v="Iniciativa para reduzir conformidade em financeiro."/>
        <s v="Iniciativa para integrar custos em dados."/>
        <s v="Iniciativa para padronizar conformidade em segurança."/>
        <s v="Iniciativa para melhorar visibilidade em dados."/>
        <s v="Iniciativa para padronizar custos em processos."/>
        <s v="Iniciativa para melhorar tempo de ciclo em plataforma."/>
        <s v="Iniciativa para integrar conformidade em rh."/>
        <s v="Iniciativa para padronizar visibilidade em dados."/>
        <s v="Iniciativa para aumentar custos em supply."/>
        <s v="Iniciativa para integrar tempo de ciclo em dados."/>
        <s v="Iniciativa para aumentar custos em processos."/>
        <s v="Iniciativa para padronizar visibilidade em processos."/>
        <s v="Iniciativa para aumentar qualidade em supply."/>
        <s v="Iniciativa para melhorar qualidade em financeiro."/>
        <s v="Iniciativa para aumentar custos em operações."/>
        <s v="Iniciativa para aumentar custos em atendimento."/>
        <s v="Iniciativa para padronizar conformidade em supply."/>
        <s v="Iniciativa para aumentar tempo de ciclo em supply."/>
        <s v="Iniciativa para padronizar visibilidade em relatórios."/>
        <s v="Iniciativa para melhorar qualidade em supply."/>
        <s v="Iniciativa para aumentar visibilidade em supply."/>
        <s v="Iniciativa para reduzir qualidade em relatórios."/>
        <s v="Iniciativa para integrar tempo de ciclo em relatórios."/>
        <s v="Iniciativa para padronizar qualidade em operações."/>
        <s v="Iniciativa para integrar tempo de ciclo em atendimento."/>
        <s v="Iniciativa para reduzir tempo de ciclo em supply."/>
        <s v="Iniciativa para aumentar tempo de ciclo em plataforma."/>
        <s v="Iniciativa para aumentar tempo de ciclo em processos."/>
        <s v="Iniciativa para padronizar visibilidade em supply."/>
        <s v="Iniciativa para integrar visibilidade em processos."/>
        <s v="Iniciativa para padronizar qualidade em dados."/>
        <s v="Iniciativa para melhorar visibilidade em relatórios."/>
        <s v="Iniciativa para reduzir tempo de ciclo em plataforma."/>
        <s v="Iniciativa para reduzir qualidade em operações."/>
        <s v="Iniciativa para aumentar tempo de ciclo em relatórios."/>
        <s v="Iniciativa para melhorar custos em operações."/>
        <s v="Iniciativa para aumentar visibilidade em rh."/>
        <s v="Iniciativa para padronizar visibilidade em rh."/>
        <s v="Iniciativa para aumentar qualidade em plataforma."/>
        <s v="Iniciativa para aumentar conformidade em operações."/>
        <s v="Iniciativa para padronizar tempo de ciclo em rh."/>
        <s v="Iniciativa para integrar qualidade em rh."/>
        <s v="Iniciativa para padronizar qualidade em rh."/>
        <s v="Iniciativa para integrar qualidade em dados."/>
        <s v="Iniciativa para padronizar visibilidade em financeiro."/>
        <s v="Iniciativa para aumentar custos em relatórios."/>
        <s v="Iniciativa para aumentar qualidade em relatórios."/>
        <s v="Iniciativa para integrar custos em plataforma."/>
        <s v="Iniciativa para padronizar conformidade em dados."/>
        <s v="Iniciativa para reduzir tempo de ciclo em atendimento."/>
        <s v="Iniciativa para aumentar tempo de ciclo em operações."/>
        <s v="Iniciativa para melhorar visibilidade em segurança."/>
        <s v="Iniciativa para aumentar qualidade em segurança."/>
        <s v="Iniciativa para aumentar qualidade em dados."/>
        <s v="Iniciativa para integrar conformidade em dados."/>
        <s v="Iniciativa para reduzir conformidade em supply."/>
        <s v="Iniciativa para padronizar tempo de ciclo em dados."/>
        <s v="Iniciativa para reduzir custos em financeiro."/>
        <s v="Iniciativa para aumentar custos em rh."/>
        <s v="Iniciativa para integrar tempo de ciclo em rh."/>
        <s v="Iniciativa para padronizar qualidade em relatórios."/>
        <s v="Iniciativa para aumentar custos em segurança."/>
        <s v="Iniciativa para aumentar conformidade em dados."/>
        <s v="Iniciativa para reduzir qualidade em rh."/>
        <s v="Iniciativa para reduzir conformidade em dados."/>
        <s v="Iniciativa para integrar qualidade em segurança."/>
        <s v="Iniciativa para padronizar custos em relatórios."/>
        <s v="Iniciativa para padronizar qualidade em supply."/>
        <s v="Iniciativa para integrar conformidade em atendimento."/>
        <s v="Iniciativa para integrar tempo de ciclo em plataforma."/>
        <s v="Iniciativa para reduzir tempo de ciclo em financeiro."/>
        <s v="Iniciativa para melhorar tempo de ciclo em financeiro."/>
        <s v="Iniciativa para padronizar conformidade em financeiro."/>
        <s v="Iniciativa para melhorar tempo de ciclo em operações."/>
        <s v="Iniciativa para reduzir qualidade em processos."/>
        <s v="Iniciativa para padronizar custos em dados."/>
        <s v="Iniciativa para reduzir visibilidade em relatórios."/>
        <s v="Iniciativa para padronizar conformidade em atendimento."/>
        <s v="Iniciativa para integrar tempo de ciclo em operações."/>
        <s v="Iniciativa para melhorar custos em plataforma."/>
        <s v="Iniciativa para melhorar qualidade em plataforma."/>
        <s v="Iniciativa para padronizar tempo de ciclo em operações."/>
        <s v="Iniciativa para melhorar visibilidade em processos."/>
        <s v="Iniciativa para integrar visibilidade em atendimento."/>
        <s v="Iniciativa para padronizar tempo de ciclo em plataforma."/>
        <s v="Iniciativa para aumentar custos em dados."/>
        <s v="Iniciativa para aumentar qualidade em atendimento."/>
        <s v="Iniciativa para melhorar visibilidade em atendimento."/>
        <s v="Iniciativa para reduzir custos em rh."/>
        <s v="Iniciativa para reduzir custos em processos."/>
        <s v="Iniciativa para padronizar qualidade em plataforma."/>
        <s v="Iniciativa para integrar custos em rh."/>
        <s v="Iniciativa para melhorar custos em financeiro."/>
        <s v="Iniciativa para reduzir custos em supply."/>
        <s v="Iniciativa para reduzir custos em plataforma."/>
        <s v="Iniciativa para reduzir conformidade em processos."/>
        <s v="Iniciativa para melhorar qualidade em dados."/>
        <s v="Iniciativa para integrar conformidade em operações."/>
        <s v="Iniciativa para melhorar conformidade em operações."/>
        <s v="Iniciativa para integrar custos em relatórios."/>
        <s v="Iniciativa para reduzir conformidade em operações."/>
        <s v="Iniciativa para melhorar tempo de ciclo em relatórios."/>
        <s v="Iniciativa para melhorar custos em atendimento."/>
        <s v="Iniciativa para reduzir visibilidade em financeiro."/>
        <s v="Iniciativa para integrar visibilidade em plataforma."/>
        <s v="Iniciativa para padronizar conformidade em rh."/>
        <s v="Iniciativa para reduzir qualidade em segurança."/>
        <s v="Iniciativa para reduzir visibilidade em rh."/>
        <s v="Iniciativa para aumentar visibilidade em processos."/>
        <s v="Iniciativa para aumentar conformidade em atendimento."/>
        <s v="Iniciativa para reduzir visibilidade em plataforma."/>
        <s v="Iniciativa para aumentar visibilidade em segurança."/>
        <s v="Iniciativa para padronizar tempo de ciclo em atendimento."/>
        <s v="Iniciativa para melhorar tempo de ciclo em processos."/>
        <s v="Iniciativa para integrar visibilidade em dados."/>
        <s v="Iniciativa para melhorar conformidade em relatórios."/>
        <s v="Iniciativa para reduzir tempo de ciclo em processos."/>
        <s v="Iniciativa para melhorar visibilidade em rh."/>
        <s v="Iniciativa para reduzir tempo de ciclo em rh."/>
        <s v="Iniciativa para integrar tempo de ciclo em segurança."/>
        <s v="Iniciativa para integrar qualidade em processos."/>
        <s v="Iniciativa para reduzir conformidade em segurança."/>
        <s v="Iniciativa para melhorar qualidade em relatórios."/>
        <s v="Iniciativa para reduzir custos em operações."/>
        <s v="Iniciativa para integrar custos em financeiro."/>
        <s v="Iniciativa para aumentar qualidade em rh."/>
        <s v="Iniciativa para reduzir tempo de ciclo em relatórios."/>
        <s v="Iniciativa para integrar conformidade em processos."/>
        <s v="Iniciativa para padronizar custos em supply."/>
        <s v="Iniciativa para aumentar visibilidade em operações."/>
        <s v="Iniciativa para padronizar custos em plataforma."/>
        <s v="Iniciativa para reduzir conformidade em atendimento."/>
        <s v="Iniciativa para aumentar qualidade em financeiro."/>
        <s v="Iniciativa para padronizar visibilidade em atendimento."/>
        <s v="Iniciativa para melhorar conformidade em plataforma."/>
        <s v="Iniciativa para melhorar conformidade em rh."/>
        <s v="Iniciativa para aumentar qualidade em operações."/>
        <s v="Iniciativa para melhorar qualidade em rh."/>
        <s v="Iniciativa para integrar custos em operações."/>
        <s v="Iniciativa para reduzir tempo de ciclo em dados."/>
        <s v="Iniciativa para aumentar visibilidade em plataforma."/>
        <s v="Iniciativa para aumentar conformidade em segurança."/>
        <s v="Iniciativa para reduzir custos em dados."/>
        <s v="Iniciativa para aumentar visibilidade em dados."/>
        <s v="Iniciativa para padronizar visibilidade em plataforma."/>
        <s v="Iniciativa para reduzir tempo de ciclo em operações."/>
        <s v="Iniciativa para reduzir qualidade em dados."/>
        <s v="Iniciativa para reduzir visibilidade em segurança."/>
        <s v="Iniciativa para integrar qualidade em relatórios."/>
        <s v="Iniciativa para padronizar conformidade em operações."/>
        <s v="Iniciativa para aumentar tempo de ciclo em atendimento."/>
        <s v="Iniciativa para integrar qualidade em operações."/>
        <s v="Iniciativa para melhorar conformidade em dados."/>
        <s v="Iniciativa para aumentar custos em financeiro."/>
        <s v="Iniciativa para reduzir visibilidade em processos."/>
        <s v="Iniciativa para padronizar tempo de ciclo em financeiro."/>
        <s v="Iniciativa para melhorar qualidade em operações."/>
        <s v="Iniciativa para reduzir visibilidade em atendimento."/>
        <s v="Iniciativa para padronizar tempo de ciclo em processos."/>
        <s v="Iniciativa para reduzir conformidade em rh."/>
        <s v="Iniciativa para padronizar qualidade em atendimento."/>
        <s v="Iniciativa para aumentar conformidade em supply."/>
        <s v="Iniciativa para integrar qualidade em supply."/>
        <s v="Iniciativa para padronizar custos em segurança."/>
        <s v="Iniciativa para melhorar tempo de ciclo em segurança."/>
        <s v="Iniciativa para integrar visibilidade em relatórios."/>
        <s v="Iniciativa para melhorar visibilidade em supply."/>
        <s v="Iniciativa para aumentar conformidade em rh."/>
        <s v="Iniciativa para padronizar conformidade em plataforma."/>
        <s v="Iniciativa para melhorar qualidade em segurança."/>
        <s v="Iniciativa para integrar custos em processos."/>
        <s v="Iniciativa para reduzir custos em segurança."/>
        <s v="Iniciativa para melhorar tempo de ciclo em atendimento."/>
        <s v="Iniciativa para melhorar conformidade em processos."/>
        <s v="Iniciativa para melhorar custos em relatórios."/>
        <s v="Iniciativa para integrar tempo de ciclo em processos."/>
        <s v="Iniciativa para padronizar qualidade em segurança."/>
        <s v="Iniciativa para melhorar visibilidade em plataforma."/>
        <s v="Iniciativa para aumentar conformidade em financeiro."/>
        <s v="Iniciativa para reduzir tempo de ciclo em segurança."/>
        <s v="Iniciativa para aumentar visibilidade em financeiro."/>
        <s v="Iniciativa para integrar visibilidade em financeiro."/>
        <s v="Iniciativa para integrar tempo de ciclo em financeiro."/>
        <s v="Iniciativa para melhorar custos em supply."/>
        <s v="Iniciativa para aumentar visibilidade em relatórios."/>
        <s v="Iniciativa para aumentar tempo de ciclo em financeiro."/>
        <s v="Iniciativa para melhorar visibilidade em financeiro."/>
        <s v="Iniciativa para reduzir qualidade em atendimento."/>
        <s v="Iniciativa para padronizar custos em financeiro."/>
        <s v="Iniciativa para padronizar qualidade em processos."/>
        <s v="Iniciativa para melhorar tempo de ciclo em dados."/>
        <s v="Iniciativa para melhorar visibilidade em operações."/>
        <s v="Iniciativa para integrar conformidade em segurança."/>
        <s v="Iniciativa para reduzir visibilidade em supply."/>
        <s v="Iniciativa para padronizar tempo de ciclo em supply."/>
        <s v="Iniciativa para integrar visibilidade em segurança."/>
        <s v="Iniciativa para integrar conformidade em relatórios."/>
        <s v="Iniciativa para reduzir custos em relatórios."/>
        <s v="Iniciativa para padronizar visibilidade em operações."/>
        <s v="Iniciativa para reduzir custos em atendimento."/>
        <s v="Iniciativa para aumentar visibilidade em atendimento."/>
        <s v="Iniciativa para integrar custos em segurança."/>
        <s v="Iniciativa para melhorar custos em processos."/>
        <s v="Iniciativa para melhorar custos em dados."/>
        <s v="Iniciativa para aumentar custos em plataforma."/>
        <s v="Iniciativa para aumentar conformidade em relatórios."/>
        <s v="Iniciativa para integrar tempo de ciclo em supply."/>
        <s v="Iniciativa para aumentar tempo de ciclo em segurança."/>
      </sharedItems>
    </cacheField>
    <cacheField name="area" numFmtId="0">
      <sharedItems count="10">
        <s v="Operações"/>
        <s v="Compras"/>
        <s v="Jurídico"/>
        <s v="Marketing"/>
        <s v="Atendimento"/>
        <s v="Comercial"/>
        <s v="Financeiro"/>
        <s v="Logística"/>
        <s v="RH"/>
        <s v="TI"/>
      </sharedItems>
    </cacheField>
    <cacheField name="prioridade" numFmtId="0">
      <sharedItems count="4">
        <s v="Alta"/>
        <s v="Baixa"/>
        <s v="Crítica"/>
        <s v="Média"/>
      </sharedItems>
    </cacheField>
    <cacheField name="data_inicio_planejada" numFmtId="14">
      <sharedItems containsSemiMixedTypes="0" containsNonDate="0" containsDate="1" containsString="0" minDate="2026-01-01T00:00:00" maxDate="2026-12-25T00:00:00" count="330">
        <d v="2026-10-07T00:00:00"/>
        <d v="2026-06-24T00:00:00"/>
        <d v="2026-04-09T00:00:00"/>
        <d v="2026-11-08T00:00:00"/>
        <d v="2026-04-19T00:00:00"/>
        <d v="2026-03-20T00:00:00"/>
        <d v="2026-05-15T00:00:00"/>
        <d v="2026-05-03T00:00:00"/>
        <d v="2026-12-20T00:00:00"/>
        <d v="2026-06-19T00:00:00"/>
        <d v="2026-01-28T00:00:00"/>
        <d v="2026-02-20T00:00:00"/>
        <d v="2026-08-05T00:00:00"/>
        <d v="2026-02-04T00:00:00"/>
        <d v="2026-07-22T00:00:00"/>
        <d v="2026-03-22T00:00:00"/>
        <d v="2026-06-25T00:00:00"/>
        <d v="2026-02-27T00:00:00"/>
        <d v="2026-03-21T00:00:00"/>
        <d v="2026-06-29T00:00:00"/>
        <d v="2026-05-16T00:00:00"/>
        <d v="2026-06-10T00:00:00"/>
        <d v="2026-10-24T00:00:00"/>
        <d v="2026-05-06T00:00:00"/>
        <d v="2026-05-08T00:00:00"/>
        <d v="2026-11-23T00:00:00"/>
        <d v="2026-07-28T00:00:00"/>
        <d v="2026-08-08T00:00:00"/>
        <d v="2026-11-29T00:00:00"/>
        <d v="2026-06-09T00:00:00"/>
        <d v="2026-02-14T00:00:00"/>
        <d v="2026-05-22T00:00:00"/>
        <d v="2026-10-11T00:00:00"/>
        <d v="2026-05-25T00:00:00"/>
        <d v="2026-05-26T00:00:00"/>
        <d v="2026-10-13T00:00:00"/>
        <d v="2026-12-05T00:00:00"/>
        <d v="2026-09-14T00:00:00"/>
        <d v="2026-08-15T00:00:00"/>
        <d v="2026-08-21T00:00:00"/>
        <d v="2026-05-28T00:00:00"/>
        <d v="2026-01-02T00:00:00"/>
        <d v="2026-07-15T00:00:00"/>
        <d v="2026-06-23T00:00:00"/>
        <d v="2026-02-21T00:00:00"/>
        <d v="2026-09-12T00:00:00"/>
        <d v="2026-07-16T00:00:00"/>
        <d v="2026-06-30T00:00:00"/>
        <d v="2026-03-31T00:00:00"/>
        <d v="2026-09-08T00:00:00"/>
        <d v="2026-12-06T00:00:00"/>
        <d v="2026-03-08T00:00:00"/>
        <d v="2026-10-31T00:00:00"/>
        <d v="2026-08-09T00:00:00"/>
        <d v="2026-07-10T00:00:00"/>
        <d v="2026-04-25T00:00:00"/>
        <d v="2026-03-15T00:00:00"/>
        <d v="2026-01-27T00:00:00"/>
        <d v="2026-12-08T00:00:00"/>
        <d v="2026-08-24T00:00:00"/>
        <d v="2026-11-27T00:00:00"/>
        <d v="2026-11-18T00:00:00"/>
        <d v="2026-11-11T00:00:00"/>
        <d v="2026-09-16T00:00:00"/>
        <d v="2026-06-18T00:00:00"/>
        <d v="2026-11-26T00:00:00"/>
        <d v="2026-10-04T00:00:00"/>
        <d v="2026-08-01T00:00:00"/>
        <d v="2026-08-18T00:00:00"/>
        <d v="2026-02-26T00:00:00"/>
        <d v="2026-09-27T00:00:00"/>
        <d v="2026-08-31T00:00:00"/>
        <d v="2026-02-12T00:00:00"/>
        <d v="2026-01-17T00:00:00"/>
        <d v="2026-10-15T00:00:00"/>
        <d v="2026-06-27T00:00:00"/>
        <d v="2026-11-10T00:00:00"/>
        <d v="2026-10-28T00:00:00"/>
        <d v="2026-03-06T00:00:00"/>
        <d v="2026-06-13T00:00:00"/>
        <d v="2026-10-26T00:00:00"/>
        <d v="2026-01-24T00:00:00"/>
        <d v="2026-10-16T00:00:00"/>
        <d v="2026-11-14T00:00:00"/>
        <d v="2026-02-01T00:00:00"/>
        <d v="2026-11-09T00:00:00"/>
        <d v="2026-03-16T00:00:00"/>
        <d v="2026-04-26T00:00:00"/>
        <d v="2026-10-21T00:00:00"/>
        <d v="2026-11-25T00:00:00"/>
        <d v="2026-06-17T00:00:00"/>
        <d v="2026-05-01T00:00:00"/>
        <d v="2026-10-09T00:00:00"/>
        <d v="2026-03-01T00:00:00"/>
        <d v="2026-04-22T00:00:00"/>
        <d v="2026-02-11T00:00:00"/>
        <d v="2026-01-23T00:00:00"/>
        <d v="2026-11-06T00:00:00"/>
        <d v="2026-12-23T00:00:00"/>
        <d v="2026-01-18T00:00:00"/>
        <d v="2026-09-07T00:00:00"/>
        <d v="2026-05-17T00:00:00"/>
        <d v="2026-01-14T00:00:00"/>
        <d v="2026-07-06T00:00:00"/>
        <d v="2026-11-24T00:00:00"/>
        <d v="2026-02-28T00:00:00"/>
        <d v="2026-07-11T00:00:00"/>
        <d v="2026-07-03T00:00:00"/>
        <d v="2026-12-01T00:00:00"/>
        <d v="2026-10-19T00:00:00"/>
        <d v="2026-12-13T00:00:00"/>
        <d v="2026-12-07T00:00:00"/>
        <d v="2026-11-17T00:00:00"/>
        <d v="2026-03-09T00:00:00"/>
        <d v="2026-03-19T00:00:00"/>
        <d v="2026-07-04T00:00:00"/>
        <d v="2026-05-27T00:00:00"/>
        <d v="2026-03-12T00:00:00"/>
        <d v="2026-05-24T00:00:00"/>
        <d v="2026-07-21T00:00:00"/>
        <d v="2026-06-07T00:00:00"/>
        <d v="2026-08-20T00:00:00"/>
        <d v="2026-08-16T00:00:00"/>
        <d v="2026-06-26T00:00:00"/>
        <d v="2026-01-29T00:00:00"/>
        <d v="2026-06-08T00:00:00"/>
        <d v="2026-12-19T00:00:00"/>
        <d v="2026-02-08T00:00:00"/>
        <d v="2026-04-16T00:00:00"/>
        <d v="2026-08-27T00:00:00"/>
        <d v="2026-09-01T00:00:00"/>
        <d v="2026-04-14T00:00:00"/>
        <d v="2026-12-22T00:00:00"/>
        <d v="2026-06-03T00:00:00"/>
        <d v="2026-01-15T00:00:00"/>
        <d v="2026-01-11T00:00:00"/>
        <d v="2026-09-24T00:00:00"/>
        <d v="2026-11-30T00:00:00"/>
        <d v="2026-10-20T00:00:00"/>
        <d v="2026-12-15T00:00:00"/>
        <d v="2026-04-10T00:00:00"/>
        <d v="2026-11-21T00:00:00"/>
        <d v="2026-03-28T00:00:00"/>
        <d v="2026-09-19T00:00:00"/>
        <d v="2026-01-05T00:00:00"/>
        <d v="2026-03-27T00:00:00"/>
        <d v="2026-07-17T00:00:00"/>
        <d v="2026-07-26T00:00:00"/>
        <d v="2026-04-24T00:00:00"/>
        <d v="2026-09-20T00:00:00"/>
        <d v="2026-10-10T00:00:00"/>
        <d v="2026-09-21T00:00:00"/>
        <d v="2026-09-09T00:00:00"/>
        <d v="2026-05-12T00:00:00"/>
        <d v="2026-01-04T00:00:00"/>
        <d v="2026-02-06T00:00:00"/>
        <d v="2026-09-15T00:00:00"/>
        <d v="2026-04-05T00:00:00"/>
        <d v="2026-12-10T00:00:00"/>
        <d v="2026-05-29T00:00:00"/>
        <d v="2026-04-29T00:00:00"/>
        <d v="2026-04-18T00:00:00"/>
        <d v="2026-02-05T00:00:00"/>
        <d v="2026-12-04T00:00:00"/>
        <d v="2026-10-22T00:00:00"/>
        <d v="2026-07-05T00:00:00"/>
        <d v="2026-08-30T00:00:00"/>
        <d v="2026-09-17T00:00:00"/>
        <d v="2026-03-03T00:00:00"/>
        <d v="2026-03-07T00:00:00"/>
        <d v="2026-12-18T00:00:00"/>
        <d v="2026-06-11T00:00:00"/>
        <d v="2026-09-26T00:00:00"/>
        <d v="2026-07-31T00:00:00"/>
        <d v="2026-03-24T00:00:00"/>
        <d v="2026-12-03T00:00:00"/>
        <d v="2026-01-30T00:00:00"/>
        <d v="2026-02-24T00:00:00"/>
        <d v="2026-06-04T00:00:00"/>
        <d v="2026-02-17T00:00:00"/>
        <d v="2026-08-02T00:00:00"/>
        <d v="2026-03-11T00:00:00"/>
        <d v="2026-12-09T00:00:00"/>
        <d v="2026-04-27T00:00:00"/>
        <d v="2026-05-21T00:00:00"/>
        <d v="2026-09-22T00:00:00"/>
        <d v="2026-04-03T00:00:00"/>
        <d v="2026-10-08T00:00:00"/>
        <d v="2026-12-11T00:00:00"/>
        <d v="2026-01-06T00:00:00"/>
        <d v="2026-02-03T00:00:00"/>
        <d v="2026-02-22T00:00:00"/>
        <d v="2026-02-19T00:00:00"/>
        <d v="2026-11-12T00:00:00"/>
        <d v="2026-01-01T00:00:00"/>
        <d v="2026-07-01T00:00:00"/>
        <d v="2026-03-14T00:00:00"/>
        <d v="2026-11-16T00:00:00"/>
        <d v="2026-07-09T00:00:00"/>
        <d v="2026-12-14T00:00:00"/>
        <d v="2026-08-07T00:00:00"/>
        <d v="2026-10-18T00:00:00"/>
        <d v="2026-07-19T00:00:00"/>
        <d v="2026-01-09T00:00:00"/>
        <d v="2026-05-05T00:00:00"/>
        <d v="2026-07-25T00:00:00"/>
        <d v="2026-01-21T00:00:00"/>
        <d v="2026-11-13T00:00:00"/>
        <d v="2026-04-28T00:00:00"/>
        <d v="2026-08-23T00:00:00"/>
        <d v="2026-08-26T00:00:00"/>
        <d v="2026-05-31T00:00:00"/>
        <d v="2026-10-02T00:00:00"/>
        <d v="2026-03-25T00:00:00"/>
        <d v="2026-03-17T00:00:00"/>
        <d v="2026-07-02T00:00:00"/>
        <d v="2026-05-19T00:00:00"/>
        <d v="2026-04-07T00:00:00"/>
        <d v="2026-03-02T00:00:00"/>
        <d v="2026-07-08T00:00:00"/>
        <d v="2026-04-30T00:00:00"/>
        <d v="2026-09-11T00:00:00"/>
        <d v="2026-11-22T00:00:00"/>
        <d v="2026-07-29T00:00:00"/>
        <d v="2026-02-16T00:00:00"/>
        <d v="2026-12-24T00:00:00"/>
        <d v="2026-10-25T00:00:00"/>
        <d v="2026-08-28T00:00:00"/>
        <d v="2026-05-20T00:00:00"/>
        <d v="2026-03-18T00:00:00"/>
        <d v="2026-10-27T00:00:00"/>
        <d v="2026-12-12T00:00:00"/>
        <d v="2026-11-05T00:00:00"/>
        <d v="2026-08-13T00:00:00"/>
        <d v="2026-03-23T00:00:00"/>
        <d v="2026-01-03T00:00:00"/>
        <d v="2026-07-30T00:00:00"/>
        <d v="2026-03-10T00:00:00"/>
        <d v="2026-07-12T00:00:00"/>
        <d v="2026-06-05T00:00:00"/>
        <d v="2026-06-21T00:00:00"/>
        <d v="2026-05-09T00:00:00"/>
        <d v="2026-09-18T00:00:00"/>
        <d v="2026-01-16T00:00:00"/>
        <d v="2026-01-20T00:00:00"/>
        <d v="2026-12-02T00:00:00"/>
        <d v="2026-04-01T00:00:00"/>
        <d v="2026-07-20T00:00:00"/>
        <d v="2026-03-29T00:00:00"/>
        <d v="2026-01-25T00:00:00"/>
        <d v="2026-07-13T00:00:00"/>
        <d v="2026-05-07T00:00:00"/>
        <d v="2026-01-22T00:00:00"/>
        <d v="2026-05-04T00:00:00"/>
        <d v="2026-06-01T00:00:00"/>
        <d v="2026-06-20T00:00:00"/>
        <d v="2026-07-27T00:00:00"/>
        <d v="2026-04-15T00:00:00"/>
        <d v="2026-11-01T00:00:00"/>
        <d v="2026-08-06T00:00:00"/>
        <d v="2026-01-19T00:00:00"/>
        <d v="2026-08-11T00:00:00"/>
        <d v="2026-06-16T00:00:00"/>
        <d v="2026-09-06T00:00:00"/>
        <d v="2026-06-22T00:00:00"/>
        <d v="2026-11-03T00:00:00"/>
        <d v="2026-11-07T00:00:00"/>
        <d v="2026-10-01T00:00:00"/>
        <d v="2026-01-07T00:00:00"/>
        <d v="2026-02-13T00:00:00"/>
        <d v="2026-02-09T00:00:00"/>
        <d v="2026-04-23T00:00:00"/>
        <d v="2026-02-10T00:00:00"/>
        <d v="2026-02-07T00:00:00"/>
        <d v="2026-06-12T00:00:00"/>
        <d v="2026-02-23T00:00:00"/>
        <d v="2026-03-05T00:00:00"/>
        <d v="2026-02-02T00:00:00"/>
        <d v="2026-07-24T00:00:00"/>
        <d v="2026-08-12T00:00:00"/>
        <d v="2026-02-15T00:00:00"/>
        <d v="2026-09-28T00:00:00"/>
        <d v="2026-05-02T00:00:00"/>
        <d v="2026-11-20T00:00:00"/>
        <d v="2026-04-04T00:00:00"/>
        <d v="2026-04-20T00:00:00"/>
        <d v="2026-06-15T00:00:00"/>
        <d v="2026-02-18T00:00:00"/>
        <d v="2026-04-12T00:00:00"/>
        <d v="2026-02-25T00:00:00"/>
        <d v="2026-08-10T00:00:00"/>
        <d v="2026-09-30T00:00:00"/>
        <d v="2026-11-04T00:00:00"/>
        <d v="2026-04-08T00:00:00"/>
        <d v="2026-10-05T00:00:00"/>
        <d v="2026-08-29T00:00:00"/>
        <d v="2026-05-30T00:00:00"/>
        <d v="2026-06-28T00:00:00"/>
        <d v="2026-06-06T00:00:00"/>
        <d v="2026-07-07T00:00:00"/>
        <d v="2026-01-08T00:00:00"/>
        <d v="2026-10-30T00:00:00"/>
        <d v="2026-01-13T00:00:00"/>
        <d v="2026-04-11T00:00:00"/>
        <d v="2026-01-10T00:00:00"/>
        <d v="2026-09-10T00:00:00"/>
        <d v="2026-03-26T00:00:00"/>
        <d v="2026-05-10T00:00:00"/>
        <d v="2026-07-14T00:00:00"/>
        <d v="2026-12-16T00:00:00"/>
        <d v="2026-09-29T00:00:00"/>
        <d v="2026-09-05T00:00:00"/>
        <d v="2026-04-02T00:00:00"/>
        <d v="2026-10-17T00:00:00"/>
        <d v="2026-01-12T00:00:00"/>
        <d v="2026-09-13T00:00:00"/>
        <d v="2026-04-06T00:00:00"/>
        <d v="2026-10-23T00:00:00"/>
        <d v="2026-12-21T00:00:00"/>
        <d v="2026-04-21T00:00:00"/>
        <d v="2026-09-04T00:00:00"/>
        <d v="2026-08-25T00:00:00"/>
        <d v="2026-10-12T00:00:00"/>
        <d v="2026-09-02T00:00:00"/>
        <d v="2026-08-19T00:00:00"/>
        <d v="2026-06-14T00:00:00"/>
        <d v="2026-03-30T00:00:00"/>
        <d v="2026-08-03T00:00:00"/>
        <d v="2026-11-19T00:00:00"/>
        <d v="2026-05-18T00:00:00"/>
      </sharedItems>
      <fieldGroup par="18"/>
    </cacheField>
    <cacheField name="data_fim_planejada" numFmtId="14">
      <sharedItems containsSemiMixedTypes="0" containsNonDate="0" containsDate="1" containsString="0" minDate="2026-01-17T00:00:00" maxDate="2027-01-01T00:00:00"/>
    </cacheField>
    <cacheField name="data_inicio_real" numFmtId="14">
      <sharedItems containsNonDate="0" containsDate="1" containsString="0" containsBlank="1" minDate="2026-01-01T00:00:00" maxDate="2027-01-01T00:00:00" count="329">
        <d v="2026-10-08T00:00:00"/>
        <d v="2026-07-06T00:00:00"/>
        <d v="2026-04-21T00:00:00"/>
        <d v="2026-10-27T00:00:00"/>
        <d v="2026-04-16T00:00:00"/>
        <d v="2026-03-14T00:00:00"/>
        <m/>
        <d v="2026-05-08T00:00:00"/>
        <d v="2026-12-22T00:00:00"/>
        <d v="2026-01-21T00:00:00"/>
        <d v="2026-02-25T00:00:00"/>
        <d v="2026-08-15T00:00:00"/>
        <d v="2026-02-09T00:00:00"/>
        <d v="2026-07-23T00:00:00"/>
        <d v="2026-03-25T00:00:00"/>
        <d v="2026-07-12T00:00:00"/>
        <d v="2026-02-26T00:00:00"/>
        <d v="2026-03-04T00:00:00"/>
        <d v="2026-05-16T00:00:00"/>
        <d v="2026-06-10T00:00:00"/>
        <d v="2026-10-24T00:00:00"/>
        <d v="2026-05-19T00:00:00"/>
        <d v="2026-05-21T00:00:00"/>
        <d v="2026-12-04T00:00:00"/>
        <d v="2026-08-13T00:00:00"/>
        <d v="2026-10-02T00:00:00"/>
        <d v="2026-08-29T00:00:00"/>
        <d v="2026-12-20T00:00:00"/>
        <d v="2026-06-14T00:00:00"/>
        <d v="2026-06-24T00:00:00"/>
        <d v="2026-02-27T00:00:00"/>
        <d v="2026-10-17T00:00:00"/>
        <d v="2026-05-26T00:00:00"/>
        <d v="2026-10-10T00:00:00"/>
        <d v="2026-03-06T00:00:00"/>
        <d v="2026-11-15T00:00:00"/>
        <d v="2026-09-13T00:00:00"/>
        <d v="2026-08-23T00:00:00"/>
        <d v="2026-08-19T00:00:00"/>
        <d v="2026-04-01T00:00:00"/>
        <d v="2026-01-17T00:00:00"/>
        <d v="2026-07-14T00:00:00"/>
        <d v="2026-02-14T00:00:00"/>
        <d v="2026-09-25T00:00:00"/>
        <d v="2026-07-17T00:00:00"/>
        <d v="2026-06-19T00:00:00"/>
        <d v="2026-03-31T00:00:00"/>
        <d v="2026-05-14T00:00:00"/>
        <d v="2026-12-01T00:00:00"/>
        <d v="2026-08-26T00:00:00"/>
        <d v="2026-11-21T00:00:00"/>
        <d v="2026-03-16T00:00:00"/>
        <d v="2026-10-31T00:00:00"/>
        <d v="2026-08-20T00:00:00"/>
        <d v="2026-05-07T00:00:00"/>
        <d v="2026-01-26T00:00:00"/>
        <d v="2026-12-05T00:00:00"/>
        <d v="2026-10-12T00:00:00"/>
        <d v="2026-08-21T00:00:00"/>
        <d v="2026-11-17T00:00:00"/>
        <d v="2026-11-22T00:00:00"/>
        <d v="2026-07-04T00:00:00"/>
        <d v="2026-05-29T00:00:00"/>
        <d v="2026-01-24T00:00:00"/>
        <d v="2026-08-25T00:00:00"/>
        <d v="2026-03-11T00:00:00"/>
        <d v="2026-09-28T00:00:00"/>
        <d v="2026-09-08T00:00:00"/>
        <d v="2026-02-05T00:00:00"/>
        <d v="2026-12-03T00:00:00"/>
        <d v="2026-01-09T00:00:00"/>
        <d v="2026-10-23T00:00:00"/>
        <d v="2026-06-27T00:00:00"/>
        <d v="2026-11-27T00:00:00"/>
        <d v="2026-02-28T00:00:00"/>
        <d v="2026-09-19T00:00:00"/>
        <d v="2026-06-05T00:00:00"/>
        <d v="2026-04-27T00:00:00"/>
        <d v="2026-10-29T00:00:00"/>
        <d v="2026-10-05T00:00:00"/>
        <d v="2026-01-22T00:00:00"/>
        <d v="2026-10-18T00:00:00"/>
        <d v="2026-11-14T00:00:00"/>
        <d v="2026-01-12T00:00:00"/>
        <d v="2026-04-20T00:00:00"/>
        <d v="2026-10-26T00:00:00"/>
        <d v="2026-06-11T00:00:00"/>
        <d v="2026-04-25T00:00:00"/>
        <d v="2026-10-09T00:00:00"/>
        <d v="2026-03-02T00:00:00"/>
        <d v="2026-08-22T00:00:00"/>
        <d v="2026-02-12T00:00:00"/>
        <d v="2026-12-31T00:00:00"/>
        <d v="2026-10-04T00:00:00"/>
        <d v="2026-01-23T00:00:00"/>
        <d v="2026-09-06T00:00:00"/>
        <d v="2026-11-16T00:00:00"/>
        <d v="2026-11-10T00:00:00"/>
        <d v="2026-02-15T00:00:00"/>
        <d v="2026-07-02T00:00:00"/>
        <d v="2026-07-15T00:00:00"/>
        <d v="2026-08-03T00:00:00"/>
        <d v="2026-11-04T00:00:00"/>
        <d v="2026-09-17T00:00:00"/>
        <d v="2026-02-23T00:00:00"/>
        <d v="2026-08-02T00:00:00"/>
        <d v="2026-06-28T00:00:00"/>
        <d v="2026-01-19T00:00:00"/>
        <d v="2026-11-29T00:00:00"/>
        <d v="2026-12-07T00:00:00"/>
        <d v="2026-02-16T00:00:00"/>
        <d v="2026-03-24T00:00:00"/>
        <d v="2026-10-28T00:00:00"/>
        <d v="2026-07-26T00:00:00"/>
        <d v="2026-12-02T00:00:00"/>
        <d v="2026-03-13T00:00:00"/>
        <d v="2026-07-13T00:00:00"/>
        <d v="2026-05-04T00:00:00"/>
        <d v="2026-06-17T00:00:00"/>
        <d v="2026-08-16T00:00:00"/>
        <d v="2026-11-13T00:00:00"/>
        <d v="2026-07-07T00:00:00"/>
        <d v="2026-01-16T00:00:00"/>
        <d v="2026-07-16T00:00:00"/>
        <d v="2026-12-18T00:00:00"/>
        <d v="2026-01-30T00:00:00"/>
        <d v="2026-09-20T00:00:00"/>
        <d v="2026-08-30T00:00:00"/>
        <d v="2026-09-23T00:00:00"/>
        <d v="2026-04-05T00:00:00"/>
        <d v="2026-12-16T00:00:00"/>
        <d v="2026-06-18T00:00:00"/>
        <d v="2026-01-11T00:00:00"/>
        <d v="2026-09-29T00:00:00"/>
        <d v="2026-10-25T00:00:00"/>
        <d v="2026-04-06T00:00:00"/>
        <d v="2026-11-05T00:00:00"/>
        <d v="2026-09-24T00:00:00"/>
        <d v="2026-04-15T00:00:00"/>
        <d v="2026-04-23T00:00:00"/>
        <d v="2026-05-18T00:00:00"/>
        <d v="2026-01-18T00:00:00"/>
        <d v="2026-09-16T00:00:00"/>
        <d v="2026-07-18T00:00:00"/>
        <d v="2026-07-22T00:00:00"/>
        <d v="2026-06-23T00:00:00"/>
        <d v="2026-10-22T00:00:00"/>
        <d v="2026-10-03T00:00:00"/>
        <d v="2026-01-25T00:00:00"/>
        <d v="2026-11-09T00:00:00"/>
        <d v="2026-09-10T00:00:00"/>
        <d v="2026-07-11T00:00:00"/>
        <d v="2026-05-06T00:00:00"/>
        <d v="2026-01-01T00:00:00"/>
        <d v="2026-02-17T00:00:00"/>
        <d v="2026-03-26T00:00:00"/>
        <d v="2026-04-13T00:00:00"/>
        <d v="2026-11-07T00:00:00"/>
        <d v="2026-06-07T00:00:00"/>
        <d v="2026-05-11T00:00:00"/>
        <d v="2026-09-18T00:00:00"/>
        <d v="2026-04-18T00:00:00"/>
        <d v="2026-11-06T00:00:00"/>
        <d v="2026-07-10T00:00:00"/>
        <d v="2026-05-01T00:00:00"/>
        <d v="2026-11-23T00:00:00"/>
        <d v="2026-03-05T00:00:00"/>
        <d v="2026-11-26T00:00:00"/>
        <d v="2026-12-11T00:00:00"/>
        <d v="2026-06-20T00:00:00"/>
        <d v="2026-07-05T00:00:00"/>
        <d v="2026-04-08T00:00:00"/>
        <d v="2026-09-30T00:00:00"/>
        <d v="2026-02-02T00:00:00"/>
        <d v="2026-03-28T00:00:00"/>
        <d v="2026-02-03T00:00:00"/>
        <d v="2026-06-02T00:00:00"/>
        <d v="2026-02-21T00:00:00"/>
        <d v="2026-08-14T00:00:00"/>
        <d v="2026-07-28T00:00:00"/>
        <d v="2026-03-17T00:00:00"/>
        <d v="2026-12-30T00:00:00"/>
        <d v="2026-08-12T00:00:00"/>
        <d v="2026-05-10T00:00:00"/>
        <d v="2026-11-03T00:00:00"/>
        <d v="2026-12-15T00:00:00"/>
        <d v="2026-10-01T00:00:00"/>
        <d v="2026-11-08T00:00:00"/>
        <d v="2026-01-04T00:00:00"/>
        <d v="2026-08-31T00:00:00"/>
        <d v="2026-02-08T00:00:00"/>
        <d v="2026-06-12T00:00:00"/>
        <d v="2026-06-04T00:00:00"/>
        <d v="2026-02-11T00:00:00"/>
        <d v="2026-04-17T00:00:00"/>
        <d v="2026-12-14T00:00:00"/>
        <d v="2026-10-20T00:00:00"/>
        <d v="2026-07-27T00:00:00"/>
        <d v="2026-03-12T00:00:00"/>
        <d v="2026-11-12T00:00:00"/>
        <d v="2026-05-09T00:00:00"/>
        <d v="2026-04-03T00:00:00"/>
        <d v="2026-11-24T00:00:00"/>
        <d v="2026-03-22T00:00:00"/>
        <d v="2026-09-15T00:00:00"/>
        <d v="2026-03-10T00:00:00"/>
        <d v="2026-06-06T00:00:00"/>
        <d v="2026-05-13T00:00:00"/>
        <d v="2026-06-21T00:00:00"/>
        <d v="2026-09-05T00:00:00"/>
        <d v="2026-04-28T00:00:00"/>
        <d v="2026-11-30T00:00:00"/>
        <d v="2026-09-14T00:00:00"/>
        <d v="2026-08-05T00:00:00"/>
        <d v="2026-02-04T00:00:00"/>
        <d v="2026-02-18T00:00:00"/>
        <d v="2026-12-19T00:00:00"/>
        <d v="2026-03-27T00:00:00"/>
        <d v="2026-01-08T00:00:00"/>
        <d v="2026-09-26T00:00:00"/>
        <d v="2026-05-28T00:00:00"/>
        <d v="2026-08-27T00:00:00"/>
        <d v="2026-05-27T00:00:00"/>
        <d v="2026-05-12T00:00:00"/>
        <d v="2026-03-01T00:00:00"/>
        <d v="2026-08-28T00:00:00"/>
        <d v="2026-03-03T00:00:00"/>
        <d v="2026-11-18T00:00:00"/>
        <d v="2026-03-19T00:00:00"/>
        <d v="2026-06-08T00:00:00"/>
        <d v="2026-11-01T00:00:00"/>
        <d v="2026-01-06T00:00:00"/>
        <d v="2026-11-19T00:00:00"/>
        <d v="2026-05-05T00:00:00"/>
        <d v="2026-01-29T00:00:00"/>
        <d v="2026-02-22T00:00:00"/>
        <d v="2026-12-08T00:00:00"/>
        <d v="2026-04-02T00:00:00"/>
        <d v="2026-03-29T00:00:00"/>
        <d v="2026-01-07T00:00:00"/>
        <d v="2026-04-22T00:00:00"/>
        <d v="2026-03-30T00:00:00"/>
        <d v="2026-09-07T00:00:00"/>
        <d v="2026-04-10T00:00:00"/>
        <d v="2026-11-11T00:00:00"/>
        <d v="2026-12-28T00:00:00"/>
        <d v="2026-07-19T00:00:00"/>
        <d v="2026-05-15T00:00:00"/>
        <d v="2026-09-11T00:00:00"/>
        <d v="2026-08-08T00:00:00"/>
        <d v="2026-01-28T00:00:00"/>
        <d v="2026-04-12T00:00:00"/>
        <d v="2026-06-09T00:00:00"/>
        <d v="2026-06-26T00:00:00"/>
        <d v="2026-07-25T00:00:00"/>
        <d v="2026-04-04T00:00:00"/>
        <d v="2026-10-11T00:00:00"/>
        <d v="2026-03-18T00:00:00"/>
        <d v="2026-06-03T00:00:00"/>
        <d v="2026-10-14T00:00:00"/>
        <d v="2026-02-24T00:00:00"/>
        <d v="2026-08-04T00:00:00"/>
        <d v="2026-09-02T00:00:00"/>
        <d v="2026-01-31T00:00:00"/>
        <d v="2026-03-08T00:00:00"/>
        <d v="2026-06-13T00:00:00"/>
        <d v="2026-02-13T00:00:00"/>
        <d v="2026-01-14T00:00:00"/>
        <d v="2026-12-13T00:00:00"/>
        <d v="2026-08-07T00:00:00"/>
        <d v="2026-04-14T00:00:00"/>
        <d v="2026-04-24T00:00:00"/>
        <d v="2026-05-24T00:00:00"/>
        <d v="2026-12-23T00:00:00"/>
        <d v="2026-03-21T00:00:00"/>
        <d v="2026-03-23T00:00:00"/>
        <d v="2026-07-01T00:00:00"/>
        <d v="2026-09-12T00:00:00"/>
        <d v="2026-10-21T00:00:00"/>
        <d v="2026-02-07T00:00:00"/>
        <d v="2026-08-01T00:00:00"/>
        <d v="2026-10-30T00:00:00"/>
        <d v="2026-02-01T00:00:00"/>
        <d v="2026-12-06T00:00:00"/>
        <d v="2026-05-02T00:00:00"/>
        <d v="2026-11-28T00:00:00"/>
        <d v="2026-12-17T00:00:00"/>
        <d v="2026-07-21T00:00:00"/>
        <d v="2026-06-16T00:00:00"/>
        <d v="2026-05-25T00:00:00"/>
        <d v="2026-10-06T00:00:00"/>
        <d v="2026-11-02T00:00:00"/>
        <d v="2026-06-22T00:00:00"/>
        <d v="2026-02-10T00:00:00"/>
        <d v="2026-01-27T00:00:00"/>
        <d v="2026-04-29T00:00:00"/>
        <d v="2026-03-07T00:00:00"/>
        <d v="2026-10-15T00:00:00"/>
        <d v="2026-09-27T00:00:00"/>
        <d v="2026-08-18T00:00:00"/>
        <d v="2026-06-29T00:00:00"/>
        <d v="2026-09-01T00:00:00"/>
        <d v="2026-06-01T00:00:00"/>
        <d v="2026-08-24T00:00:00"/>
        <d v="2026-05-20T00:00:00"/>
        <d v="2026-07-09T00:00:00"/>
        <d v="2026-11-20T00:00:00"/>
        <d v="2026-08-11T00:00:00"/>
        <d v="2026-03-20T00:00:00"/>
        <d v="2026-01-03T00:00:00"/>
        <d v="2026-10-07T00:00:00"/>
        <d v="2026-02-06T00:00:00"/>
        <d v="2026-03-09T00:00:00"/>
        <d v="2026-06-30T00:00:00"/>
        <d v="2026-09-09T00:00:00"/>
        <d v="2026-06-15T00:00:00"/>
        <d v="2026-02-19T00:00:00"/>
        <d v="2026-04-19T00:00:00"/>
        <d v="2026-12-10T00:00:00"/>
        <d v="2026-09-21T00:00:00"/>
        <d v="2026-04-26T00:00:00"/>
        <d v="2026-05-31T00:00:00"/>
        <d v="2026-10-16T00:00:00"/>
        <d v="2026-12-09T00:00:00"/>
        <d v="2026-07-03T00:00:00"/>
        <d v="2026-06-25T00:00:00"/>
        <d v="2026-07-30T00:00:00"/>
        <d v="2026-08-17T00:00:00"/>
        <d v="2026-01-20T00:00:00"/>
      </sharedItems>
      <fieldGroup par="20"/>
    </cacheField>
    <cacheField name="data_fim_real" numFmtId="14">
      <sharedItems containsNonDate="0" containsDate="1" containsString="0" containsBlank="1" minDate="2026-01-29T00:00:00" maxDate="2027-01-01T00:00:00" count="133">
        <m/>
        <d v="2026-08-12T00:00:00"/>
        <d v="2026-12-27T00:00:00"/>
        <d v="2026-12-31T00:00:00"/>
        <d v="2026-07-17T00:00:00"/>
        <d v="2026-09-03T00:00:00"/>
        <d v="2026-04-19T00:00:00"/>
        <d v="2026-05-28T00:00:00"/>
        <d v="2026-07-27T00:00:00"/>
        <d v="2026-10-26T00:00:00"/>
        <d v="2026-12-21T00:00:00"/>
        <d v="2026-11-30T00:00:00"/>
        <d v="2026-12-06T00:00:00"/>
        <d v="2026-03-24T00:00:00"/>
        <d v="2026-10-03T00:00:00"/>
        <d v="2026-10-10T00:00:00"/>
        <d v="2026-05-01T00:00:00"/>
        <d v="2026-06-28T00:00:00"/>
        <d v="2026-04-10T00:00:00"/>
        <d v="2026-11-23T00:00:00"/>
        <d v="2026-08-08T00:00:00"/>
        <d v="2026-10-18T00:00:00"/>
        <d v="2026-06-22T00:00:00"/>
        <d v="2026-04-13T00:00:00"/>
        <d v="2026-06-09T00:00:00"/>
        <d v="2026-07-29T00:00:00"/>
        <d v="2026-06-29T00:00:00"/>
        <d v="2026-10-13T00:00:00"/>
        <d v="2026-07-15T00:00:00"/>
        <d v="2026-11-18T00:00:00"/>
        <d v="2026-09-04T00:00:00"/>
        <d v="2026-08-06T00:00:00"/>
        <d v="2026-10-09T00:00:00"/>
        <d v="2026-08-09T00:00:00"/>
        <d v="2026-09-25T00:00:00"/>
        <d v="2026-12-03T00:00:00"/>
        <d v="2026-07-11T00:00:00"/>
        <d v="2026-04-08T00:00:00"/>
        <d v="2026-05-04T00:00:00"/>
        <d v="2026-06-26T00:00:00"/>
        <d v="2026-05-14T00:00:00"/>
        <d v="2026-11-17T00:00:00"/>
        <d v="2026-06-10T00:00:00"/>
        <d v="2026-09-02T00:00:00"/>
        <d v="2026-12-22T00:00:00"/>
        <d v="2026-04-29T00:00:00"/>
        <d v="2026-10-25T00:00:00"/>
        <d v="2026-08-01T00:00:00"/>
        <d v="2026-06-02T00:00:00"/>
        <d v="2026-08-24T00:00:00"/>
        <d v="2026-03-10T00:00:00"/>
        <d v="2026-11-07T00:00:00"/>
        <d v="2026-05-09T00:00:00"/>
        <d v="2026-05-21T00:00:00"/>
        <d v="2026-07-18T00:00:00"/>
        <d v="2026-11-08T00:00:00"/>
        <d v="2026-12-05T00:00:00"/>
        <d v="2026-02-26T00:00:00"/>
        <d v="2026-06-19T00:00:00"/>
        <d v="2026-12-07T00:00:00"/>
        <d v="2026-07-07T00:00:00"/>
        <d v="2026-08-22T00:00:00"/>
        <d v="2026-09-06T00:00:00"/>
        <d v="2026-11-03T00:00:00"/>
        <d v="2026-05-29T00:00:00"/>
        <d v="2026-08-31T00:00:00"/>
        <d v="2026-12-09T00:00:00"/>
        <d v="2026-06-20T00:00:00"/>
        <d v="2026-06-13T00:00:00"/>
        <d v="2026-12-08T00:00:00"/>
        <d v="2026-04-26T00:00:00"/>
        <d v="2026-12-20T00:00:00"/>
        <d v="2026-09-17T00:00:00"/>
        <d v="2026-04-30T00:00:00"/>
        <d v="2026-05-31T00:00:00"/>
        <d v="2026-07-03T00:00:00"/>
        <d v="2026-12-17T00:00:00"/>
        <d v="2026-09-09T00:00:00"/>
        <d v="2026-08-20T00:00:00"/>
        <d v="2026-01-29T00:00:00"/>
        <d v="2026-09-11T00:00:00"/>
        <d v="2026-07-01T00:00:00"/>
        <d v="2026-07-10T00:00:00"/>
        <d v="2026-03-16T00:00:00"/>
        <d v="2026-06-17T00:00:00"/>
        <d v="2026-07-08T00:00:00"/>
        <d v="2026-02-10T00:00:00"/>
        <d v="2026-04-17T00:00:00"/>
        <d v="2026-12-30T00:00:00"/>
        <d v="2026-07-04T00:00:00"/>
        <d v="2026-07-20T00:00:00"/>
        <d v="2026-09-14T00:00:00"/>
        <d v="2026-10-24T00:00:00"/>
        <d v="2026-05-11T00:00:00"/>
        <d v="2026-08-28T00:00:00"/>
        <d v="2026-09-13T00:00:00"/>
        <d v="2026-10-08T00:00:00"/>
        <d v="2026-06-07T00:00:00"/>
        <d v="2026-07-24T00:00:00"/>
        <d v="2026-09-05T00:00:00"/>
        <d v="2026-09-12T00:00:00"/>
        <d v="2026-05-17T00:00:00"/>
        <d v="2026-12-26T00:00:00"/>
        <d v="2026-11-05T00:00:00"/>
        <d v="2026-06-23T00:00:00"/>
        <d v="2026-04-21T00:00:00"/>
        <d v="2026-06-04T00:00:00"/>
        <d v="2026-08-16T00:00:00"/>
        <d v="2026-07-19T00:00:00"/>
        <d v="2026-12-10T00:00:00"/>
        <d v="2026-08-07T00:00:00"/>
        <d v="2026-11-12T00:00:00"/>
        <d v="2026-06-01T00:00:00"/>
        <d v="2026-06-03T00:00:00"/>
        <d v="2026-02-25T00:00:00"/>
        <d v="2026-12-13T00:00:00"/>
        <d v="2026-02-06T00:00:00"/>
        <d v="2026-12-18T00:00:00"/>
        <d v="2026-08-21T00:00:00"/>
        <d v="2026-09-28T00:00:00"/>
        <d v="2026-07-06T00:00:00"/>
        <d v="2026-02-03T00:00:00"/>
        <d v="2026-04-07T00:00:00"/>
        <d v="2026-02-09T00:00:00"/>
        <d v="2026-06-05T00:00:00"/>
        <d v="2026-11-10T00:00:00"/>
        <d v="2026-02-21T00:00:00"/>
        <d v="2026-10-15T00:00:00"/>
        <d v="2026-07-13T00:00:00"/>
        <d v="2026-11-25T00:00:00"/>
        <d v="2026-11-21T00:00:00"/>
        <d v="2026-10-04T00:00:00"/>
        <d v="2026-12-11T00:00:00"/>
      </sharedItems>
      <fieldGroup par="22"/>
    </cacheField>
    <cacheField name="orcamento_aprovado" numFmtId="165">
      <sharedItems containsSemiMixedTypes="0" containsString="0" containsNumber="1" minValue="50000" maxValue="1169295.1499999999"/>
    </cacheField>
    <cacheField name="custo_real_acumulado" numFmtId="165">
      <sharedItems containsSemiMixedTypes="0" containsString="0" containsNumber="1" minValue="0" maxValue="997810.05"/>
    </cacheField>
    <cacheField name="beneficio_esperado_anual" numFmtId="165">
      <sharedItems containsSemiMixedTypes="0" containsString="0" containsNumber="1" minValue="15086.05" maxValue="2222458.0099999998"/>
    </cacheField>
    <cacheField name="capacidade_planejada_horas" numFmtId="0">
      <sharedItems containsSemiMixedTypes="0" containsString="0" containsNumber="1" containsInteger="1" minValue="80" maxValue="9199"/>
    </cacheField>
    <cacheField name="horas_consumidas" numFmtId="0">
      <sharedItems containsSemiMixedTypes="0" containsString="0" containsNumber="1" containsInteger="1" minValue="0" maxValue="7996"/>
    </cacheField>
    <cacheField name="modelo_execucao" numFmtId="0">
      <sharedItems/>
    </cacheField>
    <cacheField name="Saldo" numFmtId="165">
      <sharedItems containsSemiMixedTypes="0" containsString="0" containsNumber="1" minValue="-141465.58999999997" maxValue="716080.02999999991"/>
    </cacheField>
    <cacheField name="Prazo" numFmtId="0">
      <sharedItems containsMixedTypes="1" containsNumber="1" containsInteger="1" minValue="0" maxValue="172"/>
    </cacheField>
    <cacheField name="Dias (data_inicio_planejada)" numFmtId="0" databaseField="0">
      <fieldGroup base="5">
        <rangePr groupBy="days" startDate="2026-01-01T00:00:00" endDate="2026-12-25T00:00:00"/>
        <groupItems count="368">
          <s v="&lt;01/01/2026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25/12/2026"/>
        </groupItems>
      </fieldGroup>
    </cacheField>
    <cacheField name="Meses (data_inicio_planejada)" numFmtId="0" databaseField="0">
      <fieldGroup base="5">
        <rangePr groupBy="months" startDate="2026-01-01T00:00:00" endDate="2026-12-25T00:00:00"/>
        <groupItems count="14">
          <s v="&lt;01/01/2026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25/12/2026"/>
        </groupItems>
      </fieldGroup>
    </cacheField>
    <cacheField name="Dias (data_inicio_real)" numFmtId="0" databaseField="0">
      <fieldGroup base="7">
        <rangePr groupBy="days" startDate="2026-01-01T00:00:00" endDate="2027-01-01T00:00:00"/>
        <groupItems count="368">
          <s v="&lt;01/01/2026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01/01/2027"/>
        </groupItems>
      </fieldGroup>
    </cacheField>
    <cacheField name="Meses (data_inicio_real)" numFmtId="0" databaseField="0">
      <fieldGroup base="7">
        <rangePr groupBy="months" startDate="2026-01-01T00:00:00" endDate="2027-01-01T00:00:00"/>
        <groupItems count="14">
          <s v="&lt;01/01/2026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01/01/2027"/>
        </groupItems>
      </fieldGroup>
    </cacheField>
    <cacheField name="Dias (data_fim_real)" numFmtId="0" databaseField="0">
      <fieldGroup base="8">
        <rangePr groupBy="days" startDate="2026-01-29T00:00:00" endDate="2027-01-01T00:00:00"/>
        <groupItems count="368">
          <s v="&lt;29/01/2026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01/01/2027"/>
        </groupItems>
      </fieldGroup>
    </cacheField>
    <cacheField name="Meses (data_fim_real)" numFmtId="0" databaseField="0">
      <fieldGroup base="8">
        <rangePr groupBy="months" startDate="2026-01-29T00:00:00" endDate="2027-01-01T00:00:00"/>
        <groupItems count="14">
          <s v="&lt;29/01/2026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01/01/2027"/>
        </groupItems>
      </fieldGroup>
    </cacheField>
  </cacheFields>
  <extLst>
    <ext xmlns:x14="http://schemas.microsoft.com/office/spreadsheetml/2009/9/main" uri="{725AE2AE-9491-48be-B2B4-4EB974FC3084}">
      <x14:pivotCacheDefinition pivotCacheId="84672117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PRJ-0001"/>
    <s v="Integração de Dados 430"/>
    <x v="0"/>
    <x v="0"/>
    <x v="0"/>
    <x v="0"/>
    <d v="2026-12-31T00:00:00"/>
    <x v="0"/>
    <x v="0"/>
    <n v="333842.26"/>
    <n v="216266.12"/>
    <n v="136995.13"/>
    <n v="1296"/>
    <n v="848"/>
    <s v="Híbrido"/>
    <n v="117576.14000000001"/>
    <s v=""/>
  </r>
  <r>
    <s v="PRJ-0002"/>
    <s v="Implantação de Processos 748"/>
    <x v="1"/>
    <x v="1"/>
    <x v="0"/>
    <x v="1"/>
    <d v="2026-07-08T00:00:00"/>
    <x v="1"/>
    <x v="1"/>
    <n v="50000"/>
    <n v="45289.88"/>
    <n v="42753.74"/>
    <n v="296"/>
    <n v="309"/>
    <s v="Cascata"/>
    <n v="4710.1200000000026"/>
    <n v="37"/>
  </r>
  <r>
    <s v="PRJ-0003"/>
    <s v="Implantação de RH 651"/>
    <x v="2"/>
    <x v="0"/>
    <x v="1"/>
    <x v="2"/>
    <d v="2026-06-01T00:00:00"/>
    <x v="2"/>
    <x v="0"/>
    <n v="59370.47"/>
    <n v="39596.519999999997"/>
    <n v="73669.02"/>
    <n v="2791"/>
    <n v="1516"/>
    <s v="Ágil"/>
    <n v="19773.950000000004"/>
    <s v=""/>
  </r>
  <r>
    <s v="PRJ-0004"/>
    <s v="Revisão de Processos 235"/>
    <x v="3"/>
    <x v="2"/>
    <x v="1"/>
    <x v="3"/>
    <d v="2026-12-17T00:00:00"/>
    <x v="3"/>
    <x v="2"/>
    <n v="64182.55"/>
    <n v="63714.1"/>
    <n v="53513.84"/>
    <n v="1828"/>
    <n v="2026"/>
    <s v="Híbrido"/>
    <n v="468.45000000000437"/>
    <n v="61"/>
  </r>
  <r>
    <s v="PRJ-0005"/>
    <s v="Implantação de Operações 439"/>
    <x v="4"/>
    <x v="3"/>
    <x v="1"/>
    <x v="4"/>
    <d v="2026-06-25T00:00:00"/>
    <x v="4"/>
    <x v="0"/>
    <n v="237926.62"/>
    <n v="24994.38"/>
    <n v="218380.55"/>
    <n v="2523"/>
    <n v="336"/>
    <s v="Cascata"/>
    <n v="212932.24"/>
    <s v=""/>
  </r>
  <r>
    <s v="PRJ-0006"/>
    <s v="Otimização de Plataforma 699"/>
    <x v="5"/>
    <x v="2"/>
    <x v="2"/>
    <x v="5"/>
    <d v="2026-09-16T00:00:00"/>
    <x v="5"/>
    <x v="0"/>
    <n v="94024.320000000007"/>
    <n v="33591.379999999997"/>
    <n v="141899.6"/>
    <n v="4424"/>
    <n v="1621"/>
    <s v="Ágil"/>
    <n v="60432.94000000001"/>
    <s v=""/>
  </r>
  <r>
    <s v="PRJ-0007"/>
    <s v="Integração de Relatórios 383"/>
    <x v="6"/>
    <x v="2"/>
    <x v="3"/>
    <x v="6"/>
    <d v="2026-08-15T00:00:00"/>
    <x v="6"/>
    <x v="0"/>
    <n v="249334.17"/>
    <n v="0"/>
    <n v="455527.78"/>
    <n v="2087"/>
    <n v="0"/>
    <s v="Híbrido"/>
    <n v="249334.17"/>
    <s v=""/>
  </r>
  <r>
    <s v="PRJ-0008"/>
    <s v="Automação de Relatórios 676"/>
    <x v="7"/>
    <x v="4"/>
    <x v="3"/>
    <x v="7"/>
    <d v="2026-07-27T00:00:00"/>
    <x v="7"/>
    <x v="0"/>
    <n v="81824.36"/>
    <n v="45766.85"/>
    <n v="43182.33"/>
    <n v="2442"/>
    <n v="1597"/>
    <s v="Cascata"/>
    <n v="36057.51"/>
    <s v=""/>
  </r>
  <r>
    <s v="PRJ-0009"/>
    <s v="Modernização de Supply 022"/>
    <x v="8"/>
    <x v="5"/>
    <x v="3"/>
    <x v="8"/>
    <d v="2026-12-31T00:00:00"/>
    <x v="8"/>
    <x v="3"/>
    <n v="84635.68"/>
    <n v="23822.15"/>
    <n v="104098.52"/>
    <n v="454"/>
    <n v="148"/>
    <s v="Ágil"/>
    <n v="60813.529999999992"/>
    <n v="9"/>
  </r>
  <r>
    <s v="PRJ-0010"/>
    <s v="Padronização de Segurança 804"/>
    <x v="9"/>
    <x v="6"/>
    <x v="1"/>
    <x v="9"/>
    <d v="2026-08-01T00:00:00"/>
    <x v="6"/>
    <x v="0"/>
    <n v="157863.45000000001"/>
    <n v="0"/>
    <n v="297900.13"/>
    <n v="957"/>
    <n v="0"/>
    <s v="Híbrido"/>
    <n v="157863.45000000001"/>
    <s v=""/>
  </r>
  <r>
    <s v="PRJ-0011"/>
    <s v="Integração de Segurança 550"/>
    <x v="10"/>
    <x v="6"/>
    <x v="1"/>
    <x v="10"/>
    <d v="2026-03-31T00:00:00"/>
    <x v="9"/>
    <x v="0"/>
    <n v="50000"/>
    <n v="40414.839999999997"/>
    <n v="47401.3"/>
    <n v="2028"/>
    <n v="1200"/>
    <s v="Cascata"/>
    <n v="9585.1600000000035"/>
    <s v=""/>
  </r>
  <r>
    <s v="PRJ-0012"/>
    <s v="Padronização de RH 219"/>
    <x v="11"/>
    <x v="3"/>
    <x v="3"/>
    <x v="11"/>
    <d v="2026-06-20T00:00:00"/>
    <x v="10"/>
    <x v="4"/>
    <n v="50000"/>
    <n v="57019.11"/>
    <n v="100225.47"/>
    <n v="4393"/>
    <n v="4660"/>
    <s v="Ágil"/>
    <n v="-7019.1100000000006"/>
    <n v="142"/>
  </r>
  <r>
    <s v="PRJ-0013"/>
    <s v="Otimização de Supply 059"/>
    <x v="12"/>
    <x v="5"/>
    <x v="1"/>
    <x v="12"/>
    <d v="2026-09-06T00:00:00"/>
    <x v="11"/>
    <x v="5"/>
    <n v="54125.27"/>
    <n v="62168.1"/>
    <n v="83044.539999999994"/>
    <n v="694"/>
    <n v="664"/>
    <s v="Híbrido"/>
    <n v="-8042.8300000000017"/>
    <n v="19"/>
  </r>
  <r>
    <s v="PRJ-0014"/>
    <s v="Modernização de Financeiro 674"/>
    <x v="13"/>
    <x v="7"/>
    <x v="1"/>
    <x v="13"/>
    <d v="2026-03-22T00:00:00"/>
    <x v="12"/>
    <x v="6"/>
    <n v="99747.92"/>
    <n v="107803.72"/>
    <n v="123266.85"/>
    <n v="976"/>
    <n v="1148"/>
    <s v="Cascata"/>
    <n v="-8055.8000000000029"/>
    <n v="69"/>
  </r>
  <r>
    <s v="PRJ-0015"/>
    <s v="Modernização de Plataforma 551"/>
    <x v="14"/>
    <x v="4"/>
    <x v="2"/>
    <x v="14"/>
    <d v="2026-09-30T00:00:00"/>
    <x v="13"/>
    <x v="0"/>
    <n v="68736.13"/>
    <n v="51070.18"/>
    <n v="62010.42"/>
    <n v="1217"/>
    <n v="1077"/>
    <s v="Ágil"/>
    <n v="17665.950000000004"/>
    <s v=""/>
  </r>
  <r>
    <s v="PRJ-0016"/>
    <s v="Implantação de Plataforma 962"/>
    <x v="15"/>
    <x v="8"/>
    <x v="2"/>
    <x v="15"/>
    <d v="2026-06-10T00:00:00"/>
    <x v="14"/>
    <x v="7"/>
    <n v="131430.03"/>
    <n v="148359.04999999999"/>
    <n v="214851.27"/>
    <n v="3353"/>
    <n v="3368"/>
    <s v="Híbrido"/>
    <n v="-16929.01999999999"/>
    <n v="64"/>
  </r>
  <r>
    <s v="PRJ-0017"/>
    <s v="Expansão de Atendimento 046"/>
    <x v="16"/>
    <x v="0"/>
    <x v="0"/>
    <x v="16"/>
    <d v="2026-09-17T00:00:00"/>
    <x v="15"/>
    <x v="0"/>
    <n v="286274.11"/>
    <n v="183952.41"/>
    <n v="269724.83"/>
    <n v="2427"/>
    <n v="1221"/>
    <s v="Cascata"/>
    <n v="102321.69999999998"/>
    <s v=""/>
  </r>
  <r>
    <s v="PRJ-0018"/>
    <s v="Otimização de Atendimento 374"/>
    <x v="16"/>
    <x v="5"/>
    <x v="1"/>
    <x v="17"/>
    <d v="2026-04-24T00:00:00"/>
    <x v="16"/>
    <x v="0"/>
    <n v="50000"/>
    <n v="32296.37"/>
    <n v="35503"/>
    <n v="3406"/>
    <n v="2473"/>
    <s v="Ágil"/>
    <n v="17703.63"/>
    <s v=""/>
  </r>
  <r>
    <s v="PRJ-0019"/>
    <s v="Revisão de Financeiro 822"/>
    <x v="17"/>
    <x v="6"/>
    <x v="0"/>
    <x v="18"/>
    <d v="2026-06-26T00:00:00"/>
    <x v="17"/>
    <x v="0"/>
    <n v="58137.77"/>
    <n v="32197.73"/>
    <n v="20241.62"/>
    <n v="5215"/>
    <n v="2568"/>
    <s v="Híbrido"/>
    <n v="25940.039999999997"/>
    <s v=""/>
  </r>
  <r>
    <s v="PRJ-0020"/>
    <s v="Implantação de Supply 657"/>
    <x v="18"/>
    <x v="5"/>
    <x v="3"/>
    <x v="19"/>
    <d v="2026-09-26T00:00:00"/>
    <x v="13"/>
    <x v="0"/>
    <n v="50000"/>
    <n v="39695.56"/>
    <n v="16367.38"/>
    <n v="1415"/>
    <n v="1120"/>
    <s v="Cascata"/>
    <n v="10304.440000000002"/>
    <s v=""/>
  </r>
  <r>
    <s v="PRJ-0021"/>
    <s v="Integração de Atendimento 046"/>
    <x v="19"/>
    <x v="4"/>
    <x v="2"/>
    <x v="20"/>
    <d v="2026-07-27T00:00:00"/>
    <x v="18"/>
    <x v="8"/>
    <n v="50000"/>
    <n v="2760.09"/>
    <n v="19303.88"/>
    <n v="1562"/>
    <n v="83"/>
    <s v="Ágil"/>
    <n v="47239.91"/>
    <n v="72"/>
  </r>
  <r>
    <s v="PRJ-0022"/>
    <s v="Automação de Segurança 431"/>
    <x v="10"/>
    <x v="4"/>
    <x v="3"/>
    <x v="21"/>
    <d v="2026-08-26T00:00:00"/>
    <x v="19"/>
    <x v="0"/>
    <n v="167661.87"/>
    <n v="104497.97"/>
    <n v="196278.48"/>
    <n v="2129"/>
    <n v="1502"/>
    <s v="Híbrido"/>
    <n v="63163.899999999994"/>
    <s v=""/>
  </r>
  <r>
    <s v="PRJ-0023"/>
    <s v="Modernização de Atendimento 528"/>
    <x v="20"/>
    <x v="1"/>
    <x v="3"/>
    <x v="22"/>
    <d v="2026-12-16T00:00:00"/>
    <x v="20"/>
    <x v="0"/>
    <n v="315539.83"/>
    <n v="295588.65000000002"/>
    <n v="576369.4"/>
    <n v="933"/>
    <n v="853"/>
    <s v="Cascata"/>
    <n v="19951.179999999993"/>
    <s v=""/>
  </r>
  <r>
    <s v="PRJ-0024"/>
    <s v="Expansão de Segurança 152"/>
    <x v="21"/>
    <x v="0"/>
    <x v="0"/>
    <x v="23"/>
    <d v="2026-07-12T00:00:00"/>
    <x v="21"/>
    <x v="0"/>
    <n v="189246.88"/>
    <n v="126499.65"/>
    <n v="238447.19"/>
    <n v="1792"/>
    <n v="1586"/>
    <s v="Ágil"/>
    <n v="62747.23000000001"/>
    <s v=""/>
  </r>
  <r>
    <s v="PRJ-0025"/>
    <s v="Revisão de RH 628"/>
    <x v="22"/>
    <x v="3"/>
    <x v="1"/>
    <x v="24"/>
    <d v="2026-09-26T00:00:00"/>
    <x v="22"/>
    <x v="0"/>
    <n v="69049.66"/>
    <n v="3388.49"/>
    <n v="119422.19"/>
    <n v="4095"/>
    <n v="200"/>
    <s v="Híbrido"/>
    <n v="65661.17"/>
    <s v=""/>
  </r>
  <r>
    <s v="PRJ-0026"/>
    <s v="Implantação de Supply 328"/>
    <x v="23"/>
    <x v="4"/>
    <x v="0"/>
    <x v="25"/>
    <d v="2026-12-31T00:00:00"/>
    <x v="23"/>
    <x v="0"/>
    <n v="292524.77"/>
    <n v="182334.89"/>
    <n v="477354.02"/>
    <n v="1218"/>
    <n v="1018"/>
    <s v="Cascata"/>
    <n v="110189.88"/>
    <s v=""/>
  </r>
  <r>
    <s v="PRJ-0027"/>
    <s v="Otimização de Operações 390"/>
    <x v="24"/>
    <x v="5"/>
    <x v="1"/>
    <x v="26"/>
    <d v="2026-09-17T00:00:00"/>
    <x v="24"/>
    <x v="0"/>
    <n v="346634.37"/>
    <n v="79858.64"/>
    <n v="428435.82"/>
    <n v="1951"/>
    <n v="439"/>
    <s v="Ágil"/>
    <n v="266775.73"/>
    <s v=""/>
  </r>
  <r>
    <s v="PRJ-0028"/>
    <s v="Expansão de Relatórios 861"/>
    <x v="25"/>
    <x v="2"/>
    <x v="0"/>
    <x v="0"/>
    <d v="2026-10-31T00:00:00"/>
    <x v="25"/>
    <x v="9"/>
    <n v="142363.82"/>
    <n v="175860.46"/>
    <n v="45996.83"/>
    <n v="684"/>
    <n v="719"/>
    <s v="Híbrido"/>
    <n v="-33496.639999999985"/>
    <n v="24"/>
  </r>
  <r>
    <s v="PRJ-0029"/>
    <s v="Revisão de Financeiro 285"/>
    <x v="26"/>
    <x v="1"/>
    <x v="2"/>
    <x v="27"/>
    <d v="2026-10-06T00:00:00"/>
    <x v="26"/>
    <x v="0"/>
    <n v="422046.27"/>
    <n v="429132.04"/>
    <n v="351914.87"/>
    <n v="1254"/>
    <n v="875"/>
    <s v="Cascata"/>
    <n v="-7085.7699999999604"/>
    <s v=""/>
  </r>
  <r>
    <s v="PRJ-0030"/>
    <s v="Modernização de Operações 971"/>
    <x v="27"/>
    <x v="0"/>
    <x v="1"/>
    <x v="28"/>
    <d v="2026-12-31T00:00:00"/>
    <x v="27"/>
    <x v="10"/>
    <n v="50000"/>
    <n v="29752.09"/>
    <n v="93141.04"/>
    <n v="1105"/>
    <n v="647"/>
    <s v="Ágil"/>
    <n v="20247.91"/>
    <n v="1"/>
  </r>
  <r>
    <s v="PRJ-0031"/>
    <s v="Integração de Plataforma 714"/>
    <x v="28"/>
    <x v="8"/>
    <x v="1"/>
    <x v="29"/>
    <d v="2026-08-13T00:00:00"/>
    <x v="28"/>
    <x v="0"/>
    <n v="129668.67"/>
    <n v="33679.53"/>
    <n v="141099.88"/>
    <n v="4161"/>
    <n v="1091"/>
    <s v="Híbrido"/>
    <n v="95989.14"/>
    <s v=""/>
  </r>
  <r>
    <s v="PRJ-0032"/>
    <s v="Automação de Financeiro 181"/>
    <x v="29"/>
    <x v="0"/>
    <x v="3"/>
    <x v="1"/>
    <d v="2026-09-17T00:00:00"/>
    <x v="29"/>
    <x v="0"/>
    <n v="50000"/>
    <n v="8390.1"/>
    <n v="49025.46"/>
    <n v="3009"/>
    <n v="461"/>
    <s v="Cascata"/>
    <n v="41609.9"/>
    <s v=""/>
  </r>
  <r>
    <s v="PRJ-0033"/>
    <s v="Otimização de RH 872"/>
    <x v="2"/>
    <x v="1"/>
    <x v="3"/>
    <x v="30"/>
    <d v="2026-06-23T00:00:00"/>
    <x v="30"/>
    <x v="0"/>
    <n v="50000"/>
    <n v="23260.85"/>
    <n v="73929.41"/>
    <n v="4573"/>
    <n v="2483"/>
    <s v="Ágil"/>
    <n v="26739.15"/>
    <s v=""/>
  </r>
  <r>
    <s v="PRJ-0034"/>
    <s v="Padronização de RH 459"/>
    <x v="30"/>
    <x v="7"/>
    <x v="3"/>
    <x v="31"/>
    <d v="2026-07-31T00:00:00"/>
    <x v="22"/>
    <x v="0"/>
    <n v="216476.64"/>
    <n v="234277.79"/>
    <n v="446053.69"/>
    <n v="616"/>
    <n v="486"/>
    <s v="Híbrido"/>
    <n v="-17801.149999999994"/>
    <s v=""/>
  </r>
  <r>
    <s v="PRJ-0035"/>
    <s v="Modernização de Segurança 324"/>
    <x v="31"/>
    <x v="8"/>
    <x v="3"/>
    <x v="32"/>
    <d v="2026-12-21T00:00:00"/>
    <x v="31"/>
    <x v="0"/>
    <n v="65441.14"/>
    <n v="32430.880000000001"/>
    <n v="102635.25"/>
    <n v="765"/>
    <n v="314"/>
    <s v="Cascata"/>
    <n v="33010.259999999995"/>
    <s v=""/>
  </r>
  <r>
    <s v="PRJ-0036"/>
    <s v="Automação de Atendimento 047"/>
    <x v="32"/>
    <x v="5"/>
    <x v="1"/>
    <x v="33"/>
    <d v="2026-08-01T00:00:00"/>
    <x v="32"/>
    <x v="0"/>
    <n v="148995.47"/>
    <n v="56938.86"/>
    <n v="61989.29"/>
    <n v="1777"/>
    <n v="758"/>
    <s v="Ágil"/>
    <n v="92056.61"/>
    <s v=""/>
  </r>
  <r>
    <s v="PRJ-0037"/>
    <s v="Modernização de Financeiro 504"/>
    <x v="33"/>
    <x v="8"/>
    <x v="3"/>
    <x v="34"/>
    <d v="2026-06-09T00:00:00"/>
    <x v="28"/>
    <x v="0"/>
    <n v="156567.98000000001"/>
    <n v="79261.3"/>
    <n v="78851.83"/>
    <n v="179"/>
    <n v="80"/>
    <s v="Híbrido"/>
    <n v="77306.680000000008"/>
    <s v=""/>
  </r>
  <r>
    <s v="PRJ-0038"/>
    <s v="Expansão de Atendimento 583"/>
    <x v="34"/>
    <x v="9"/>
    <x v="1"/>
    <x v="35"/>
    <d v="2026-11-07T00:00:00"/>
    <x v="33"/>
    <x v="0"/>
    <n v="380679.58"/>
    <n v="119811.47"/>
    <n v="177072.55"/>
    <n v="538"/>
    <n v="154"/>
    <s v="Cascata"/>
    <n v="260868.11000000002"/>
    <s v=""/>
  </r>
  <r>
    <s v="PRJ-0039"/>
    <s v="Implantação de Processos 238"/>
    <x v="35"/>
    <x v="1"/>
    <x v="2"/>
    <x v="15"/>
    <d v="2026-05-12T00:00:00"/>
    <x v="34"/>
    <x v="0"/>
    <n v="100927"/>
    <n v="74384.69"/>
    <n v="59590.57"/>
    <n v="1324"/>
    <n v="859"/>
    <s v="Ágil"/>
    <n v="26542.309999999998"/>
    <s v=""/>
  </r>
  <r>
    <s v="PRJ-0040"/>
    <s v="Modernização de Processos 170"/>
    <x v="36"/>
    <x v="7"/>
    <x v="0"/>
    <x v="36"/>
    <d v="2026-12-31T00:00:00"/>
    <x v="35"/>
    <x v="0"/>
    <n v="134888.34"/>
    <n v="88449.41"/>
    <n v="84262.91"/>
    <n v="491"/>
    <n v="286"/>
    <s v="Híbrido"/>
    <n v="46438.929999999993"/>
    <s v=""/>
  </r>
  <r>
    <s v="PRJ-0041"/>
    <s v="Otimização de Plataforma 235"/>
    <x v="37"/>
    <x v="1"/>
    <x v="3"/>
    <x v="37"/>
    <d v="2026-10-23T00:00:00"/>
    <x v="36"/>
    <x v="0"/>
    <n v="50000"/>
    <n v="25438.639999999999"/>
    <n v="60708.31"/>
    <n v="1273"/>
    <n v="642"/>
    <s v="Cascata"/>
    <n v="24561.360000000001"/>
    <s v=""/>
  </r>
  <r>
    <s v="PRJ-0042"/>
    <s v="Expansão de Supply 329"/>
    <x v="38"/>
    <x v="9"/>
    <x v="3"/>
    <x v="38"/>
    <d v="2026-10-08T00:00:00"/>
    <x v="37"/>
    <x v="0"/>
    <n v="50000"/>
    <n v="45024.4"/>
    <n v="93908.84"/>
    <n v="2171"/>
    <n v="1691"/>
    <s v="Ágil"/>
    <n v="4975.5999999999985"/>
    <s v=""/>
  </r>
  <r>
    <s v="PRJ-0043"/>
    <s v="Padronização de Financeiro 056"/>
    <x v="39"/>
    <x v="2"/>
    <x v="0"/>
    <x v="39"/>
    <d v="2026-12-29T00:00:00"/>
    <x v="38"/>
    <x v="3"/>
    <n v="76513.100000000006"/>
    <n v="89966.39"/>
    <n v="119656.9"/>
    <n v="2832"/>
    <n v="2790"/>
    <s v="Híbrido"/>
    <n v="-13453.289999999994"/>
    <n v="134"/>
  </r>
  <r>
    <s v="PRJ-0044"/>
    <s v="Automação de Atendimento 565"/>
    <x v="32"/>
    <x v="2"/>
    <x v="3"/>
    <x v="40"/>
    <d v="2026-09-25T00:00:00"/>
    <x v="19"/>
    <x v="0"/>
    <n v="50000"/>
    <n v="19962.189999999999"/>
    <n v="66637.52"/>
    <n v="2343"/>
    <n v="810"/>
    <s v="Cascata"/>
    <n v="30037.81"/>
    <s v=""/>
  </r>
  <r>
    <s v="PRJ-0045"/>
    <s v="Automação de Financeiro 196"/>
    <x v="13"/>
    <x v="3"/>
    <x v="1"/>
    <x v="5"/>
    <d v="2026-05-19T00:00:00"/>
    <x v="39"/>
    <x v="0"/>
    <n v="66841.8"/>
    <n v="37135.47"/>
    <n v="114533.29"/>
    <n v="1787"/>
    <n v="860"/>
    <s v="Ágil"/>
    <n v="29706.33"/>
    <s v=""/>
  </r>
  <r>
    <s v="PRJ-0046"/>
    <s v="Expansão de RH 956"/>
    <x v="2"/>
    <x v="5"/>
    <x v="3"/>
    <x v="41"/>
    <d v="2026-04-16T00:00:00"/>
    <x v="40"/>
    <x v="0"/>
    <n v="70127.740000000005"/>
    <n v="34343.480000000003"/>
    <n v="106466.57"/>
    <n v="808"/>
    <n v="410"/>
    <s v="Híbrido"/>
    <n v="35784.26"/>
    <s v=""/>
  </r>
  <r>
    <s v="PRJ-0047"/>
    <s v="Modernização de RH 103"/>
    <x v="22"/>
    <x v="6"/>
    <x v="1"/>
    <x v="42"/>
    <d v="2026-11-19T00:00:00"/>
    <x v="6"/>
    <x v="0"/>
    <n v="123497.34"/>
    <n v="0"/>
    <n v="180523.85"/>
    <n v="3005"/>
    <n v="0"/>
    <s v="Cascata"/>
    <n v="123497.34"/>
    <s v=""/>
  </r>
  <r>
    <s v="PRJ-0048"/>
    <s v="Padronização de Dados 037"/>
    <x v="40"/>
    <x v="9"/>
    <x v="3"/>
    <x v="43"/>
    <d v="2026-09-21T00:00:00"/>
    <x v="41"/>
    <x v="0"/>
    <n v="353115.08"/>
    <n v="380268.64"/>
    <n v="408411.07"/>
    <n v="480"/>
    <n v="395"/>
    <s v="Ágil"/>
    <n v="-27153.559999999998"/>
    <s v=""/>
  </r>
  <r>
    <s v="PRJ-0049"/>
    <s v="Automação de Segurança 544"/>
    <x v="41"/>
    <x v="6"/>
    <x v="2"/>
    <x v="44"/>
    <d v="2026-06-29T00:00:00"/>
    <x v="42"/>
    <x v="0"/>
    <n v="190715.19"/>
    <n v="24508.81"/>
    <n v="324454.67"/>
    <n v="3366"/>
    <n v="510"/>
    <s v="Híbrido"/>
    <n v="166206.38"/>
    <s v=""/>
  </r>
  <r>
    <s v="PRJ-0050"/>
    <s v="Implantação de Dados 162"/>
    <x v="42"/>
    <x v="5"/>
    <x v="1"/>
    <x v="45"/>
    <d v="2026-10-10T00:00:00"/>
    <x v="43"/>
    <x v="0"/>
    <n v="50000"/>
    <n v="4937.71"/>
    <n v="54389.29"/>
    <n v="665"/>
    <n v="47"/>
    <s v="Cascata"/>
    <n v="45062.29"/>
    <s v=""/>
  </r>
  <r>
    <s v="PRJ-0051"/>
    <s v="Expansão de Atendimento 009"/>
    <x v="34"/>
    <x v="2"/>
    <x v="3"/>
    <x v="46"/>
    <d v="2026-10-04T00:00:00"/>
    <x v="44"/>
    <x v="0"/>
    <n v="771383.91"/>
    <n v="392051.56"/>
    <n v="895768.63"/>
    <n v="2441"/>
    <n v="1668"/>
    <s v="Ágil"/>
    <n v="379332.35000000003"/>
    <s v=""/>
  </r>
  <r>
    <s v="PRJ-0052"/>
    <s v="Modernização de Processos 317"/>
    <x v="43"/>
    <x v="1"/>
    <x v="0"/>
    <x v="47"/>
    <d v="2026-08-30T00:00:00"/>
    <x v="45"/>
    <x v="0"/>
    <n v="50000"/>
    <n v="9314.84"/>
    <n v="77597.77"/>
    <n v="1296"/>
    <n v="399"/>
    <s v="Híbrido"/>
    <n v="40685.160000000003"/>
    <s v=""/>
  </r>
  <r>
    <s v="PRJ-0053"/>
    <s v="Revisão de Plataforma 480"/>
    <x v="44"/>
    <x v="1"/>
    <x v="0"/>
    <x v="48"/>
    <d v="2026-06-09T00:00:00"/>
    <x v="46"/>
    <x v="0"/>
    <n v="189300.53"/>
    <n v="110592.49"/>
    <n v="199645.56"/>
    <n v="2108"/>
    <n v="1195"/>
    <s v="Cascata"/>
    <n v="78708.039999999994"/>
    <s v=""/>
  </r>
  <r>
    <s v="PRJ-0054"/>
    <s v="Integração de RH 026"/>
    <x v="45"/>
    <x v="6"/>
    <x v="2"/>
    <x v="20"/>
    <d v="2026-06-16T00:00:00"/>
    <x v="47"/>
    <x v="0"/>
    <n v="56191.74"/>
    <n v="49435"/>
    <n v="83494.350000000006"/>
    <n v="1188"/>
    <n v="824"/>
    <s v="Ágil"/>
    <n v="6756.739999999998"/>
    <s v=""/>
  </r>
  <r>
    <s v="PRJ-0055"/>
    <s v="Integração de Dados 139"/>
    <x v="46"/>
    <x v="2"/>
    <x v="3"/>
    <x v="28"/>
    <d v="2026-12-31T00:00:00"/>
    <x v="48"/>
    <x v="0"/>
    <n v="108161.65"/>
    <n v="90473.98"/>
    <n v="87663.61"/>
    <n v="318"/>
    <n v="211"/>
    <s v="Híbrido"/>
    <n v="17687.669999999998"/>
    <s v=""/>
  </r>
  <r>
    <s v="PRJ-0056"/>
    <s v="Modernização de Supply 558"/>
    <x v="47"/>
    <x v="2"/>
    <x v="3"/>
    <x v="49"/>
    <d v="2026-11-25T00:00:00"/>
    <x v="49"/>
    <x v="11"/>
    <n v="491127.59"/>
    <n v="580462.09"/>
    <n v="339958.72"/>
    <n v="2832"/>
    <n v="3301"/>
    <s v="Cascata"/>
    <n v="-89334.499999999942"/>
    <n v="96"/>
  </r>
  <r>
    <s v="PRJ-0057"/>
    <s v="Modernização de Dados 213"/>
    <x v="48"/>
    <x v="3"/>
    <x v="1"/>
    <x v="50"/>
    <d v="2026-12-31T00:00:00"/>
    <x v="50"/>
    <x v="12"/>
    <n v="59882.83"/>
    <n v="54883.41"/>
    <n v="101936.38"/>
    <n v="178"/>
    <n v="194"/>
    <s v="Ágil"/>
    <n v="4999.4199999999983"/>
    <n v="15"/>
  </r>
  <r>
    <s v="PRJ-0058"/>
    <s v="Revisão de Processos 179"/>
    <x v="49"/>
    <x v="6"/>
    <x v="0"/>
    <x v="51"/>
    <d v="2026-04-24T00:00:00"/>
    <x v="51"/>
    <x v="0"/>
    <n v="521806.3"/>
    <n v="38344.370000000003"/>
    <n v="369640.65"/>
    <n v="1412"/>
    <n v="79"/>
    <s v="Híbrido"/>
    <n v="483461.93"/>
    <s v=""/>
  </r>
  <r>
    <s v="PRJ-0059"/>
    <s v="Padronização de Processos 063"/>
    <x v="50"/>
    <x v="5"/>
    <x v="3"/>
    <x v="52"/>
    <d v="2026-12-21T00:00:00"/>
    <x v="52"/>
    <x v="0"/>
    <n v="113991.18"/>
    <n v="72885.95"/>
    <n v="128373.67"/>
    <n v="871"/>
    <n v="502"/>
    <s v="Cascata"/>
    <n v="41105.229999999996"/>
    <s v=""/>
  </r>
  <r>
    <s v="PRJ-0060"/>
    <s v="Implantação de RH 518"/>
    <x v="22"/>
    <x v="3"/>
    <x v="3"/>
    <x v="3"/>
    <d v="2026-12-31T00:00:00"/>
    <x v="6"/>
    <x v="0"/>
    <n v="50000"/>
    <n v="0"/>
    <n v="97929.85"/>
    <n v="1174"/>
    <n v="0"/>
    <s v="Ágil"/>
    <n v="50000"/>
    <s v=""/>
  </r>
  <r>
    <s v="PRJ-0061"/>
    <s v="Expansão de Supply 682"/>
    <x v="51"/>
    <x v="0"/>
    <x v="0"/>
    <x v="53"/>
    <d v="2026-08-25T00:00:00"/>
    <x v="53"/>
    <x v="0"/>
    <n v="141112.37"/>
    <n v="80762.399999999994"/>
    <n v="273458.99"/>
    <n v="299"/>
    <n v="116"/>
    <s v="Híbrido"/>
    <n v="60349.97"/>
    <s v=""/>
  </r>
  <r>
    <s v="PRJ-0062"/>
    <s v="Revisão de Financeiro 889"/>
    <x v="52"/>
    <x v="5"/>
    <x v="1"/>
    <x v="54"/>
    <d v="2026-11-06T00:00:00"/>
    <x v="6"/>
    <x v="0"/>
    <n v="137318.22"/>
    <n v="0"/>
    <n v="124359.47"/>
    <n v="2344"/>
    <n v="0"/>
    <s v="Cascata"/>
    <n v="137318.22"/>
    <s v=""/>
  </r>
  <r>
    <s v="PRJ-0063"/>
    <s v="Otimização de Operações 952"/>
    <x v="53"/>
    <x v="1"/>
    <x v="3"/>
    <x v="55"/>
    <d v="2026-08-27T00:00:00"/>
    <x v="54"/>
    <x v="0"/>
    <n v="50000"/>
    <n v="35496.019999999997"/>
    <n v="25495.040000000001"/>
    <n v="1126"/>
    <n v="619"/>
    <s v="Ágil"/>
    <n v="14503.980000000003"/>
    <s v=""/>
  </r>
  <r>
    <s v="PRJ-0064"/>
    <s v="Integração de Financeiro 430"/>
    <x v="26"/>
    <x v="5"/>
    <x v="0"/>
    <x v="56"/>
    <d v="2026-04-16T00:00:00"/>
    <x v="51"/>
    <x v="0"/>
    <n v="626421.16"/>
    <n v="195265.88"/>
    <n v="463662.05"/>
    <n v="489"/>
    <n v="185"/>
    <s v="Híbrido"/>
    <n v="431155.28"/>
    <s v=""/>
  </r>
  <r>
    <s v="PRJ-0065"/>
    <s v="Padronização de Financeiro 280"/>
    <x v="39"/>
    <x v="5"/>
    <x v="3"/>
    <x v="57"/>
    <d v="2026-03-22T00:00:00"/>
    <x v="55"/>
    <x v="13"/>
    <n v="73224.149999999994"/>
    <n v="84449.07"/>
    <n v="118801.73"/>
    <n v="1848"/>
    <n v="1907"/>
    <s v="Cascata"/>
    <n v="-11224.920000000013"/>
    <n v="57"/>
  </r>
  <r>
    <s v="PRJ-0066"/>
    <s v="Automação de Atendimento 297"/>
    <x v="54"/>
    <x v="0"/>
    <x v="3"/>
    <x v="58"/>
    <d v="2026-12-29T00:00:00"/>
    <x v="56"/>
    <x v="0"/>
    <n v="124081.3"/>
    <n v="71755.02"/>
    <n v="57731.91"/>
    <n v="531"/>
    <n v="276"/>
    <s v="Ágil"/>
    <n v="52326.28"/>
    <s v=""/>
  </r>
  <r>
    <s v="PRJ-0067"/>
    <s v="Modernização de Supply 590"/>
    <x v="55"/>
    <x v="9"/>
    <x v="0"/>
    <x v="37"/>
    <d v="2026-12-05T00:00:00"/>
    <x v="57"/>
    <x v="0"/>
    <n v="66732.570000000007"/>
    <n v="30676.61"/>
    <n v="53876.79"/>
    <n v="3351"/>
    <n v="1439"/>
    <s v="Híbrido"/>
    <n v="36055.960000000006"/>
    <s v=""/>
  </r>
  <r>
    <s v="PRJ-0068"/>
    <s v="Implantação de Supply 227"/>
    <x v="56"/>
    <x v="3"/>
    <x v="3"/>
    <x v="59"/>
    <d v="2026-12-07T00:00:00"/>
    <x v="58"/>
    <x v="14"/>
    <n v="50673.22"/>
    <n v="22675.62"/>
    <n v="30679.79"/>
    <n v="1715"/>
    <n v="704"/>
    <s v="Cascata"/>
    <n v="27997.600000000002"/>
    <n v="43"/>
  </r>
  <r>
    <s v="PRJ-0069"/>
    <s v="Modernização de Relatórios 975"/>
    <x v="57"/>
    <x v="0"/>
    <x v="3"/>
    <x v="60"/>
    <d v="2026-12-31T00:00:00"/>
    <x v="59"/>
    <x v="0"/>
    <n v="117114.15"/>
    <n v="71826.350000000006"/>
    <n v="249416.23"/>
    <n v="735"/>
    <n v="501"/>
    <s v="Ágil"/>
    <n v="45287.799999999988"/>
    <s v=""/>
  </r>
  <r>
    <s v="PRJ-0070"/>
    <s v="Otimização de Supply 520"/>
    <x v="58"/>
    <x v="1"/>
    <x v="0"/>
    <x v="61"/>
    <d v="2026-12-31T00:00:00"/>
    <x v="60"/>
    <x v="0"/>
    <n v="213632.38"/>
    <n v="53968.71"/>
    <n v="417847.83"/>
    <n v="1370"/>
    <n v="308"/>
    <s v="Híbrido"/>
    <n v="159663.67000000001"/>
    <s v=""/>
  </r>
  <r>
    <s v="PRJ-0071"/>
    <s v="Integração de Supply 620"/>
    <x v="55"/>
    <x v="7"/>
    <x v="1"/>
    <x v="62"/>
    <d v="2026-12-05T00:00:00"/>
    <x v="20"/>
    <x v="0"/>
    <n v="66062.509999999995"/>
    <n v="49159.23"/>
    <n v="30159.119999999999"/>
    <n v="632"/>
    <n v="440"/>
    <s v="Cascata"/>
    <n v="16903.279999999992"/>
    <s v=""/>
  </r>
  <r>
    <s v="PRJ-0072"/>
    <s v="Revisão de Supply 940"/>
    <x v="59"/>
    <x v="5"/>
    <x v="3"/>
    <x v="63"/>
    <d v="2026-10-07T00:00:00"/>
    <x v="36"/>
    <x v="15"/>
    <n v="119930.96"/>
    <n v="144833.39000000001"/>
    <n v="88378.77"/>
    <n v="809"/>
    <n v="921"/>
    <s v="Ágil"/>
    <n v="-24902.430000000008"/>
    <n v="27"/>
  </r>
  <r>
    <s v="PRJ-0073"/>
    <s v="Revisão de Plataforma 597"/>
    <x v="15"/>
    <x v="3"/>
    <x v="0"/>
    <x v="64"/>
    <d v="2026-09-23T00:00:00"/>
    <x v="61"/>
    <x v="0"/>
    <n v="174068.3"/>
    <n v="128153.85"/>
    <n v="91017.8"/>
    <n v="2883"/>
    <n v="1648"/>
    <s v="Híbrido"/>
    <n v="45914.449999999983"/>
    <s v=""/>
  </r>
  <r>
    <s v="PRJ-0074"/>
    <s v="Implantação de Relatórios 974"/>
    <x v="60"/>
    <x v="8"/>
    <x v="1"/>
    <x v="65"/>
    <d v="2026-12-31T00:00:00"/>
    <x v="6"/>
    <x v="0"/>
    <n v="218950.68"/>
    <n v="0"/>
    <n v="70519.42"/>
    <n v="711"/>
    <n v="0"/>
    <s v="Cascata"/>
    <n v="218950.68"/>
    <s v=""/>
  </r>
  <r>
    <s v="PRJ-0075"/>
    <s v="Automação de Relatórios 186"/>
    <x v="61"/>
    <x v="7"/>
    <x v="1"/>
    <x v="66"/>
    <d v="2026-11-14T00:00:00"/>
    <x v="6"/>
    <x v="0"/>
    <n v="95018.880000000005"/>
    <n v="0"/>
    <n v="206633.66"/>
    <n v="999"/>
    <n v="0"/>
    <s v="Ágil"/>
    <n v="95018.880000000005"/>
    <s v=""/>
  </r>
  <r>
    <s v="PRJ-0076"/>
    <s v="Revisão de Operações 452"/>
    <x v="62"/>
    <x v="7"/>
    <x v="3"/>
    <x v="34"/>
    <d v="2026-07-09T00:00:00"/>
    <x v="62"/>
    <x v="0"/>
    <n v="92142.29"/>
    <n v="38984.21"/>
    <n v="50877.279999999999"/>
    <n v="1142"/>
    <n v="644"/>
    <s v="Híbrido"/>
    <n v="53158.079999999994"/>
    <s v=""/>
  </r>
  <r>
    <s v="PRJ-0077"/>
    <s v="Automação de Atendimento 461"/>
    <x v="63"/>
    <x v="3"/>
    <x v="2"/>
    <x v="57"/>
    <d v="2026-04-14T00:00:00"/>
    <x v="63"/>
    <x v="16"/>
    <n v="135237.57"/>
    <n v="153580.49"/>
    <n v="246576.41"/>
    <n v="3813"/>
    <n v="3740"/>
    <s v="Cascata"/>
    <n v="-18342.919999999984"/>
    <n v="97"/>
  </r>
  <r>
    <s v="PRJ-0078"/>
    <s v="Modernização de Supply 811"/>
    <x v="64"/>
    <x v="3"/>
    <x v="2"/>
    <x v="67"/>
    <d v="2026-10-29T00:00:00"/>
    <x v="64"/>
    <x v="0"/>
    <n v="116266.41"/>
    <n v="45734.95"/>
    <n v="70124.33"/>
    <n v="1992"/>
    <n v="896"/>
    <s v="Ágil"/>
    <n v="70531.460000000006"/>
    <s v=""/>
  </r>
  <r>
    <s v="PRJ-0079"/>
    <s v="Expansão de Plataforma 795"/>
    <x v="65"/>
    <x v="9"/>
    <x v="2"/>
    <x v="68"/>
    <d v="2026-12-31T00:00:00"/>
    <x v="64"/>
    <x v="3"/>
    <n v="108665"/>
    <n v="101038.56"/>
    <n v="173041.8"/>
    <n v="2212"/>
    <n v="1805"/>
    <s v="Híbrido"/>
    <n v="7626.4400000000023"/>
    <n v="128"/>
  </r>
  <r>
    <s v="PRJ-0080"/>
    <s v="Expansão de Processos 630"/>
    <x v="66"/>
    <x v="8"/>
    <x v="1"/>
    <x v="69"/>
    <d v="2026-05-19T00:00:00"/>
    <x v="65"/>
    <x v="0"/>
    <n v="68383.89"/>
    <n v="53606.05"/>
    <n v="75309.11"/>
    <n v="4239"/>
    <n v="2819"/>
    <s v="Cascata"/>
    <n v="14777.839999999997"/>
    <s v=""/>
  </r>
  <r>
    <s v="PRJ-0081"/>
    <s v="Implantação de Processos 366"/>
    <x v="3"/>
    <x v="1"/>
    <x v="1"/>
    <x v="70"/>
    <d v="2026-12-28T00:00:00"/>
    <x v="25"/>
    <x v="0"/>
    <n v="57682.05"/>
    <n v="25719.32"/>
    <n v="110941.71"/>
    <n v="2704"/>
    <n v="1156"/>
    <s v="Ágil"/>
    <n v="31962.730000000003"/>
    <s v=""/>
  </r>
  <r>
    <s v="PRJ-0082"/>
    <s v="Modernização de RH 038"/>
    <x v="2"/>
    <x v="6"/>
    <x v="0"/>
    <x v="0"/>
    <d v="2026-12-31T00:00:00"/>
    <x v="66"/>
    <x v="0"/>
    <n v="56024.08"/>
    <n v="41453.699999999997"/>
    <n v="65111.19"/>
    <n v="3035"/>
    <n v="2605"/>
    <s v="Híbrido"/>
    <n v="14570.380000000005"/>
    <s v=""/>
  </r>
  <r>
    <s v="PRJ-0083"/>
    <s v="Modernização de Supply 448"/>
    <x v="67"/>
    <x v="9"/>
    <x v="0"/>
    <x v="71"/>
    <d v="2026-10-15T00:00:00"/>
    <x v="67"/>
    <x v="0"/>
    <n v="262498.52"/>
    <n v="207449.37"/>
    <n v="480575.28"/>
    <n v="601"/>
    <n v="462"/>
    <s v="Cascata"/>
    <n v="55049.150000000023"/>
    <s v=""/>
  </r>
  <r>
    <s v="PRJ-0084"/>
    <s v="Modernização de Supply 677"/>
    <x v="51"/>
    <x v="3"/>
    <x v="2"/>
    <x v="72"/>
    <d v="2026-04-23T00:00:00"/>
    <x v="68"/>
    <x v="0"/>
    <n v="141310.13"/>
    <n v="66953.06"/>
    <n v="82221.59"/>
    <n v="870"/>
    <n v="419"/>
    <s v="Ágil"/>
    <n v="74357.070000000007"/>
    <s v=""/>
  </r>
  <r>
    <s v="PRJ-0085"/>
    <s v="Automação de Processos 147"/>
    <x v="68"/>
    <x v="7"/>
    <x v="1"/>
    <x v="62"/>
    <d v="2026-12-31T00:00:00"/>
    <x v="69"/>
    <x v="0"/>
    <n v="117470.94"/>
    <n v="66197.83"/>
    <n v="246074.25"/>
    <n v="1731"/>
    <n v="921"/>
    <s v="Híbrido"/>
    <n v="51273.11"/>
    <s v=""/>
  </r>
  <r>
    <s v="PRJ-0086"/>
    <s v="Automação de Dados 376"/>
    <x v="69"/>
    <x v="9"/>
    <x v="1"/>
    <x v="73"/>
    <d v="2026-05-29T00:00:00"/>
    <x v="70"/>
    <x v="0"/>
    <n v="53991.360000000001"/>
    <n v="41835.449999999997"/>
    <n v="116439.44"/>
    <n v="3920"/>
    <n v="2262"/>
    <s v="Cascata"/>
    <n v="12155.910000000003"/>
    <s v=""/>
  </r>
  <r>
    <s v="PRJ-0087"/>
    <s v="Modernização de Relatórios 874"/>
    <x v="70"/>
    <x v="8"/>
    <x v="2"/>
    <x v="74"/>
    <d v="2026-12-31T00:00:00"/>
    <x v="71"/>
    <x v="0"/>
    <n v="164114.16"/>
    <n v="122706.57"/>
    <n v="86717.46"/>
    <n v="706"/>
    <n v="492"/>
    <s v="Ágil"/>
    <n v="41407.589999999997"/>
    <s v=""/>
  </r>
  <r>
    <s v="PRJ-0088"/>
    <s v="Integração de Plataforma 206"/>
    <x v="71"/>
    <x v="5"/>
    <x v="2"/>
    <x v="75"/>
    <d v="2026-07-17T00:00:00"/>
    <x v="72"/>
    <x v="17"/>
    <n v="113069.17"/>
    <n v="5053.22"/>
    <n v="167006.74"/>
    <n v="423"/>
    <n v="16"/>
    <s v="Híbrido"/>
    <n v="108015.95"/>
    <n v="1"/>
  </r>
  <r>
    <s v="PRJ-0089"/>
    <s v="Expansão de Operações 076"/>
    <x v="72"/>
    <x v="7"/>
    <x v="3"/>
    <x v="76"/>
    <d v="2026-12-31T00:00:00"/>
    <x v="73"/>
    <x v="0"/>
    <n v="635962.71"/>
    <n v="66162.89"/>
    <n v="1058517.8600000001"/>
    <n v="957"/>
    <n v="101"/>
    <s v="Cascata"/>
    <n v="569799.81999999995"/>
    <s v=""/>
  </r>
  <r>
    <s v="PRJ-0090"/>
    <s v="Implantação de Relatórios 166"/>
    <x v="73"/>
    <x v="0"/>
    <x v="3"/>
    <x v="77"/>
    <d v="2026-12-31T00:00:00"/>
    <x v="20"/>
    <x v="0"/>
    <n v="50000"/>
    <n v="22652.81"/>
    <n v="91287.46"/>
    <n v="917"/>
    <n v="376"/>
    <s v="Ágil"/>
    <n v="27347.19"/>
    <s v=""/>
  </r>
  <r>
    <s v="PRJ-0091"/>
    <s v="Revisão de Operações 043"/>
    <x v="74"/>
    <x v="2"/>
    <x v="0"/>
    <x v="78"/>
    <d v="2026-03-25T00:00:00"/>
    <x v="74"/>
    <x v="0"/>
    <n v="432484.26"/>
    <n v="274131.46999999997"/>
    <n v="340568.07"/>
    <n v="1077"/>
    <n v="681"/>
    <s v="Híbrido"/>
    <n v="158352.79000000004"/>
    <s v=""/>
  </r>
  <r>
    <s v="PRJ-0092"/>
    <s v="Padronização de Plataforma 706"/>
    <x v="44"/>
    <x v="9"/>
    <x v="0"/>
    <x v="45"/>
    <d v="2026-12-09T00:00:00"/>
    <x v="75"/>
    <x v="0"/>
    <n v="247591.57"/>
    <n v="65909.38"/>
    <n v="185707.06"/>
    <n v="1923"/>
    <n v="415"/>
    <s v="Cascata"/>
    <n v="181682.19"/>
    <s v=""/>
  </r>
  <r>
    <s v="PRJ-0093"/>
    <s v="Integração de RH 126"/>
    <x v="75"/>
    <x v="7"/>
    <x v="3"/>
    <x v="79"/>
    <d v="2026-09-05T00:00:00"/>
    <x v="76"/>
    <x v="0"/>
    <n v="163901.6"/>
    <n v="101327.13"/>
    <n v="56531.839999999997"/>
    <n v="1955"/>
    <n v="1391"/>
    <s v="Ágil"/>
    <n v="62574.47"/>
    <s v=""/>
  </r>
  <r>
    <s v="PRJ-0094"/>
    <s v="Automação de RH 528"/>
    <x v="76"/>
    <x v="6"/>
    <x v="1"/>
    <x v="24"/>
    <d v="2026-07-21T00:00:00"/>
    <x v="77"/>
    <x v="0"/>
    <n v="215584.27"/>
    <n v="18810.84"/>
    <n v="107319.65"/>
    <n v="1177"/>
    <n v="78"/>
    <s v="Híbrido"/>
    <n v="196773.43"/>
    <s v=""/>
  </r>
  <r>
    <s v="PRJ-0095"/>
    <s v="Otimização de Plataforma 442"/>
    <x v="15"/>
    <x v="8"/>
    <x v="1"/>
    <x v="80"/>
    <d v="2026-12-04T00:00:00"/>
    <x v="78"/>
    <x v="0"/>
    <n v="119017.85"/>
    <n v="42918.97"/>
    <n v="156225.19"/>
    <n v="627"/>
    <n v="193"/>
    <s v="Cascata"/>
    <n v="76098.880000000005"/>
    <s v=""/>
  </r>
  <r>
    <s v="PRJ-0096"/>
    <s v="Automação de Plataforma 404"/>
    <x v="77"/>
    <x v="2"/>
    <x v="3"/>
    <x v="32"/>
    <d v="2026-12-31T00:00:00"/>
    <x v="79"/>
    <x v="0"/>
    <n v="50000"/>
    <n v="33479.82"/>
    <n v="48019.29"/>
    <n v="2478"/>
    <n v="1346"/>
    <s v="Ágil"/>
    <n v="16520.18"/>
    <s v=""/>
  </r>
  <r>
    <s v="PRJ-0097"/>
    <s v="Revisão de Operações 327"/>
    <x v="27"/>
    <x v="4"/>
    <x v="0"/>
    <x v="81"/>
    <d v="2026-05-21T00:00:00"/>
    <x v="80"/>
    <x v="0"/>
    <n v="147707.44"/>
    <n v="98781.38"/>
    <n v="129383.43"/>
    <n v="2013"/>
    <n v="1195"/>
    <s v="Híbrido"/>
    <n v="48926.06"/>
    <s v=""/>
  </r>
  <r>
    <s v="PRJ-0098"/>
    <s v="Otimização de Operações 486"/>
    <x v="78"/>
    <x v="1"/>
    <x v="3"/>
    <x v="82"/>
    <d v="2026-10-30T00:00:00"/>
    <x v="81"/>
    <x v="0"/>
    <n v="105394.26"/>
    <n v="73941.929999999993"/>
    <n v="205445.84"/>
    <n v="304"/>
    <n v="225"/>
    <s v="Cascata"/>
    <n v="31452.33"/>
    <s v=""/>
  </r>
  <r>
    <s v="PRJ-0099"/>
    <s v="Otimização de RH 322"/>
    <x v="79"/>
    <x v="1"/>
    <x v="0"/>
    <x v="83"/>
    <d v="2026-12-31T00:00:00"/>
    <x v="82"/>
    <x v="0"/>
    <n v="709206.56"/>
    <n v="483675.41"/>
    <n v="889965.97"/>
    <n v="1606"/>
    <n v="876"/>
    <s v="Ágil"/>
    <n v="225531.15000000008"/>
    <s v=""/>
  </r>
  <r>
    <s v="PRJ-0100"/>
    <s v="Automação de RH 935"/>
    <x v="80"/>
    <x v="3"/>
    <x v="3"/>
    <x v="84"/>
    <d v="2026-04-18T00:00:00"/>
    <x v="83"/>
    <x v="18"/>
    <n v="123826.85"/>
    <n v="115953.35"/>
    <n v="182919.14"/>
    <n v="1088"/>
    <n v="1002"/>
    <s v="Híbrido"/>
    <n v="7873.5"/>
    <n v="88"/>
  </r>
  <r>
    <s v="PRJ-0101"/>
    <s v="Integração de RH 325"/>
    <x v="81"/>
    <x v="4"/>
    <x v="0"/>
    <x v="85"/>
    <d v="2026-12-31T00:00:00"/>
    <x v="35"/>
    <x v="0"/>
    <n v="99962.4"/>
    <n v="58665.83"/>
    <n v="146836.46"/>
    <n v="1123"/>
    <n v="500"/>
    <s v="Cascata"/>
    <n v="41296.569999999992"/>
    <s v=""/>
  </r>
  <r>
    <s v="PRJ-0102"/>
    <s v="Integração de Dados 278"/>
    <x v="82"/>
    <x v="4"/>
    <x v="3"/>
    <x v="86"/>
    <d v="2026-07-03T00:00:00"/>
    <x v="46"/>
    <x v="0"/>
    <n v="199369.43"/>
    <n v="71544.37"/>
    <n v="242144.92"/>
    <n v="2400"/>
    <n v="811"/>
    <s v="Ágil"/>
    <n v="127825.06"/>
    <s v=""/>
  </r>
  <r>
    <s v="PRJ-0103"/>
    <s v="Automação de Financeiro 669"/>
    <x v="83"/>
    <x v="5"/>
    <x v="3"/>
    <x v="87"/>
    <d v="2026-05-31T00:00:00"/>
    <x v="84"/>
    <x v="0"/>
    <n v="50000"/>
    <n v="32069.06"/>
    <n v="61382.91"/>
    <n v="258"/>
    <n v="137"/>
    <s v="Híbrido"/>
    <n v="17930.939999999999"/>
    <s v=""/>
  </r>
  <r>
    <s v="PRJ-0104"/>
    <s v="Padronização de Relatórios 960"/>
    <x v="84"/>
    <x v="6"/>
    <x v="3"/>
    <x v="88"/>
    <d v="2026-12-19T00:00:00"/>
    <x v="85"/>
    <x v="3"/>
    <n v="246190.56"/>
    <n v="252355.48"/>
    <n v="192982.42"/>
    <n v="3365"/>
    <n v="3549"/>
    <s v="Cascata"/>
    <n v="-6164.9200000000128"/>
    <n v="66"/>
  </r>
  <r>
    <s v="PRJ-0105"/>
    <s v="Implantação de Relatórios 015"/>
    <x v="85"/>
    <x v="9"/>
    <x v="3"/>
    <x v="89"/>
    <d v="2026-12-31T00:00:00"/>
    <x v="60"/>
    <x v="19"/>
    <n v="103792.43"/>
    <n v="39217.06"/>
    <n v="132150.76999999999"/>
    <n v="782"/>
    <n v="208"/>
    <s v="Ágil"/>
    <n v="64575.369999999995"/>
    <n v="1"/>
  </r>
  <r>
    <s v="PRJ-0106"/>
    <s v="Implantação de Financeiro 242"/>
    <x v="26"/>
    <x v="1"/>
    <x v="1"/>
    <x v="90"/>
    <d v="2026-07-14T00:00:00"/>
    <x v="86"/>
    <x v="20"/>
    <n v="58365.75"/>
    <n v="65051.44"/>
    <n v="38046.97"/>
    <n v="1083"/>
    <n v="956"/>
    <s v="Híbrido"/>
    <n v="-6685.6900000000023"/>
    <n v="58"/>
  </r>
  <r>
    <s v="PRJ-0107"/>
    <s v="Modernização de Atendimento 377"/>
    <x v="63"/>
    <x v="2"/>
    <x v="3"/>
    <x v="91"/>
    <d v="2026-07-24T00:00:00"/>
    <x v="87"/>
    <x v="0"/>
    <n v="262945.40000000002"/>
    <n v="198288.65"/>
    <n v="562736.99"/>
    <n v="3379"/>
    <n v="2042"/>
    <s v="Cascata"/>
    <n v="64656.750000000029"/>
    <s v=""/>
  </r>
  <r>
    <s v="PRJ-0108"/>
    <s v="Revisão de Plataforma 940"/>
    <x v="86"/>
    <x v="6"/>
    <x v="3"/>
    <x v="92"/>
    <d v="2026-12-31T00:00:00"/>
    <x v="88"/>
    <x v="21"/>
    <n v="50000"/>
    <n v="9856.58"/>
    <n v="104592.2"/>
    <n v="2230"/>
    <n v="452"/>
    <s v="Ágil"/>
    <n v="40143.42"/>
    <n v="9"/>
  </r>
  <r>
    <s v="PRJ-0109"/>
    <s v="Automação de Dados 426"/>
    <x v="87"/>
    <x v="9"/>
    <x v="3"/>
    <x v="93"/>
    <d v="2026-06-12T00:00:00"/>
    <x v="89"/>
    <x v="0"/>
    <n v="80906.31"/>
    <n v="59532.13"/>
    <n v="143628.94"/>
    <n v="3373"/>
    <n v="2357"/>
    <s v="Híbrido"/>
    <n v="21374.18"/>
    <s v=""/>
  </r>
  <r>
    <s v="PRJ-0110"/>
    <s v="Otimização de Atendimento 419"/>
    <x v="88"/>
    <x v="9"/>
    <x v="0"/>
    <x v="94"/>
    <d v="2026-07-02T00:00:00"/>
    <x v="6"/>
    <x v="0"/>
    <n v="101152.35"/>
    <n v="0"/>
    <n v="171182.44"/>
    <n v="4362"/>
    <n v="0"/>
    <s v="Cascata"/>
    <n v="101152.35"/>
    <s v=""/>
  </r>
  <r>
    <s v="PRJ-0111"/>
    <s v="Automação de Segurança 855"/>
    <x v="21"/>
    <x v="3"/>
    <x v="2"/>
    <x v="95"/>
    <d v="2026-05-18T00:00:00"/>
    <x v="16"/>
    <x v="22"/>
    <n v="88365.35"/>
    <n v="75440.38"/>
    <n v="67925.55"/>
    <n v="3609"/>
    <n v="3776"/>
    <s v="Ágil"/>
    <n v="12924.970000000001"/>
    <n v="116"/>
  </r>
  <r>
    <s v="PRJ-0112"/>
    <s v="Otimização de Segurança 212"/>
    <x v="21"/>
    <x v="8"/>
    <x v="0"/>
    <x v="59"/>
    <d v="2026-09-18T00:00:00"/>
    <x v="90"/>
    <x v="0"/>
    <n v="123301.33"/>
    <n v="23114.09"/>
    <n v="45262.879999999997"/>
    <n v="1235"/>
    <n v="257"/>
    <s v="Híbrido"/>
    <n v="100187.24"/>
    <s v=""/>
  </r>
  <r>
    <s v="PRJ-0113"/>
    <s v="Revisão de Operações 613"/>
    <x v="89"/>
    <x v="1"/>
    <x v="3"/>
    <x v="96"/>
    <d v="2026-03-25T00:00:00"/>
    <x v="91"/>
    <x v="23"/>
    <n v="118154.43"/>
    <n v="118935.46"/>
    <n v="128077.22"/>
    <n v="1350"/>
    <n v="1115"/>
    <s v="Cascata"/>
    <n v="-781.03000000001339"/>
    <n v="60"/>
  </r>
  <r>
    <s v="PRJ-0114"/>
    <s v="Revisão de Financeiro 419"/>
    <x v="17"/>
    <x v="8"/>
    <x v="2"/>
    <x v="35"/>
    <d v="2026-12-31T00:00:00"/>
    <x v="52"/>
    <x v="0"/>
    <n v="513601.45"/>
    <n v="546758.43999999994"/>
    <n v="417383.03"/>
    <n v="3201"/>
    <n v="2968"/>
    <s v="Ágil"/>
    <n v="-33156.989999999932"/>
    <s v=""/>
  </r>
  <r>
    <s v="PRJ-0115"/>
    <s v="Implantação de Segurança 339"/>
    <x v="90"/>
    <x v="3"/>
    <x v="0"/>
    <x v="56"/>
    <d v="2026-06-21T00:00:00"/>
    <x v="5"/>
    <x v="24"/>
    <n v="50281.45"/>
    <n v="47176.31"/>
    <n v="72235.740000000005"/>
    <n v="2193"/>
    <n v="2491"/>
    <s v="Híbrido"/>
    <n v="3105.1399999999994"/>
    <n v="87"/>
  </r>
  <r>
    <s v="PRJ-0116"/>
    <s v="Padronização de Segurança 891"/>
    <x v="91"/>
    <x v="2"/>
    <x v="3"/>
    <x v="97"/>
    <d v="2026-12-31T00:00:00"/>
    <x v="6"/>
    <x v="0"/>
    <n v="257535.56"/>
    <n v="0"/>
    <n v="167528.14000000001"/>
    <n v="1442"/>
    <n v="0"/>
    <s v="Cascata"/>
    <n v="257535.56"/>
    <s v=""/>
  </r>
  <r>
    <s v="PRJ-0117"/>
    <s v="Padronização de Dados 665"/>
    <x v="92"/>
    <x v="9"/>
    <x v="2"/>
    <x v="98"/>
    <d v="2026-12-31T00:00:00"/>
    <x v="92"/>
    <x v="0"/>
    <n v="73492.289999999994"/>
    <n v="43031.839999999997"/>
    <n v="89487.21"/>
    <n v="131"/>
    <n v="72"/>
    <s v="Ágil"/>
    <n v="30460.449999999997"/>
    <s v=""/>
  </r>
  <r>
    <s v="PRJ-0118"/>
    <s v="Implantação de Dados 958"/>
    <x v="93"/>
    <x v="8"/>
    <x v="3"/>
    <x v="79"/>
    <d v="2026-08-21T00:00:00"/>
    <x v="6"/>
    <x v="0"/>
    <n v="131114.04"/>
    <n v="0"/>
    <n v="226514.28"/>
    <n v="1440"/>
    <n v="0"/>
    <s v="Híbrido"/>
    <n v="131114.04"/>
    <s v=""/>
  </r>
  <r>
    <s v="PRJ-0119"/>
    <s v="Automação de Supply 174"/>
    <x v="94"/>
    <x v="3"/>
    <x v="1"/>
    <x v="92"/>
    <d v="2026-11-24T00:00:00"/>
    <x v="93"/>
    <x v="0"/>
    <n v="77414.960000000006"/>
    <n v="27854.84"/>
    <n v="94940.57"/>
    <n v="478"/>
    <n v="120"/>
    <s v="Cascata"/>
    <n v="49560.12000000001"/>
    <s v=""/>
  </r>
  <r>
    <s v="PRJ-0120"/>
    <s v="Automação de Processos 224"/>
    <x v="68"/>
    <x v="7"/>
    <x v="2"/>
    <x v="99"/>
    <d v="2026-02-26T00:00:00"/>
    <x v="94"/>
    <x v="0"/>
    <n v="173152.03"/>
    <n v="91987.18"/>
    <n v="137534.62"/>
    <n v="969"/>
    <n v="500"/>
    <s v="Ágil"/>
    <n v="81164.850000000006"/>
    <s v=""/>
  </r>
  <r>
    <s v="PRJ-0121"/>
    <s v="Otimização de Dados 833"/>
    <x v="95"/>
    <x v="2"/>
    <x v="3"/>
    <x v="100"/>
    <d v="2026-12-03T00:00:00"/>
    <x v="95"/>
    <x v="0"/>
    <n v="163794.75"/>
    <n v="86237.88"/>
    <n v="84855.65"/>
    <n v="2408"/>
    <n v="1022"/>
    <s v="Híbrido"/>
    <n v="77556.87"/>
    <s v=""/>
  </r>
  <r>
    <s v="PRJ-0122"/>
    <s v="Modernização de Processos 096"/>
    <x v="50"/>
    <x v="0"/>
    <x v="3"/>
    <x v="101"/>
    <d v="2026-07-01T00:00:00"/>
    <x v="18"/>
    <x v="0"/>
    <n v="406723.93"/>
    <n v="425762.39"/>
    <n v="518066.65"/>
    <n v="785"/>
    <n v="848"/>
    <s v="Cascata"/>
    <n v="-19038.460000000021"/>
    <s v=""/>
  </r>
  <r>
    <s v="PRJ-0123"/>
    <s v="Implantação de Processos 947"/>
    <x v="3"/>
    <x v="3"/>
    <x v="1"/>
    <x v="60"/>
    <d v="2026-12-31T00:00:00"/>
    <x v="96"/>
    <x v="0"/>
    <n v="73985.27"/>
    <n v="43457.66"/>
    <n v="130718.93"/>
    <n v="950"/>
    <n v="456"/>
    <s v="Ágil"/>
    <n v="30527.61"/>
    <s v=""/>
  </r>
  <r>
    <s v="PRJ-0124"/>
    <s v="Revisão de Financeiro 774"/>
    <x v="96"/>
    <x v="4"/>
    <x v="1"/>
    <x v="56"/>
    <d v="2026-06-28T00:00:00"/>
    <x v="6"/>
    <x v="0"/>
    <n v="226547.75"/>
    <n v="0"/>
    <n v="401819.25"/>
    <n v="3699"/>
    <n v="0"/>
    <s v="Híbrido"/>
    <n v="226547.75"/>
    <s v=""/>
  </r>
  <r>
    <s v="PRJ-0125"/>
    <s v="Revisão de Dados 964"/>
    <x v="46"/>
    <x v="4"/>
    <x v="1"/>
    <x v="62"/>
    <d v="2026-12-31T00:00:00"/>
    <x v="97"/>
    <x v="3"/>
    <n v="104222.61"/>
    <n v="95174.2"/>
    <n v="169070.79"/>
    <n v="764"/>
    <n v="799"/>
    <s v="Cascata"/>
    <n v="9048.4100000000035"/>
    <n v="51"/>
  </r>
  <r>
    <s v="PRJ-0126"/>
    <s v="Implantação de RH 369"/>
    <x v="97"/>
    <x v="5"/>
    <x v="1"/>
    <x v="72"/>
    <d v="2026-05-12T00:00:00"/>
    <x v="98"/>
    <x v="0"/>
    <n v="92622.46"/>
    <n v="75711.039999999994"/>
    <n v="56991.92"/>
    <n v="5522"/>
    <n v="3353"/>
    <s v="Ágil"/>
    <n v="16911.420000000013"/>
    <s v=""/>
  </r>
  <r>
    <s v="PRJ-0127"/>
    <s v="Expansão de Financeiro 798"/>
    <x v="33"/>
    <x v="5"/>
    <x v="1"/>
    <x v="102"/>
    <d v="2026-04-06T00:00:00"/>
    <x v="70"/>
    <x v="0"/>
    <n v="122611.93"/>
    <n v="83675.679999999993"/>
    <n v="110015.42"/>
    <n v="1521"/>
    <n v="1100"/>
    <s v="Híbrido"/>
    <n v="38936.25"/>
    <s v=""/>
  </r>
  <r>
    <s v="PRJ-0128"/>
    <s v="Integração de RH 609"/>
    <x v="98"/>
    <x v="6"/>
    <x v="0"/>
    <x v="86"/>
    <d v="2026-05-12T00:00:00"/>
    <x v="51"/>
    <x v="0"/>
    <n v="72156.56"/>
    <n v="33449.120000000003"/>
    <n v="110917.65"/>
    <n v="1149"/>
    <n v="553"/>
    <s v="Cascata"/>
    <n v="38707.439999999995"/>
    <s v=""/>
  </r>
  <r>
    <s v="PRJ-0129"/>
    <s v="Revisão de Relatórios 988"/>
    <x v="99"/>
    <x v="7"/>
    <x v="1"/>
    <x v="64"/>
    <d v="2026-09-05T00:00:00"/>
    <x v="99"/>
    <x v="0"/>
    <n v="71563.94"/>
    <n v="22045.43"/>
    <n v="108882.79"/>
    <n v="3636"/>
    <n v="1046"/>
    <s v="Ágil"/>
    <n v="49518.51"/>
    <s v=""/>
  </r>
  <r>
    <s v="PRJ-0130"/>
    <s v="Padronização de Segurança 449"/>
    <x v="100"/>
    <x v="8"/>
    <x v="2"/>
    <x v="103"/>
    <d v="2026-09-25T00:00:00"/>
    <x v="100"/>
    <x v="0"/>
    <n v="137016.26999999999"/>
    <n v="125643.95"/>
    <n v="69998.87"/>
    <n v="880"/>
    <n v="609"/>
    <s v="Híbrido"/>
    <n v="11372.319999999992"/>
    <s v=""/>
  </r>
  <r>
    <s v="PRJ-0131"/>
    <s v="Expansão de Dados 038"/>
    <x v="101"/>
    <x v="3"/>
    <x v="1"/>
    <x v="12"/>
    <d v="2026-11-17T00:00:00"/>
    <x v="101"/>
    <x v="0"/>
    <n v="128744.39"/>
    <n v="64404.09"/>
    <n v="110104.09"/>
    <n v="2656"/>
    <n v="1494"/>
    <s v="Cascata"/>
    <n v="64340.3"/>
    <s v=""/>
  </r>
  <r>
    <s v="PRJ-0132"/>
    <s v="Otimização de Plataforma 265"/>
    <x v="14"/>
    <x v="1"/>
    <x v="1"/>
    <x v="76"/>
    <d v="2026-12-31T00:00:00"/>
    <x v="102"/>
    <x v="0"/>
    <n v="50000"/>
    <n v="33224.959999999999"/>
    <n v="43492.32"/>
    <n v="1743"/>
    <n v="865"/>
    <s v="Ágil"/>
    <n v="16775.04"/>
    <s v=""/>
  </r>
  <r>
    <s v="PRJ-0133"/>
    <s v="Automação de Supply 320"/>
    <x v="59"/>
    <x v="4"/>
    <x v="3"/>
    <x v="37"/>
    <d v="2026-11-22T00:00:00"/>
    <x v="103"/>
    <x v="0"/>
    <n v="50000"/>
    <n v="29358.32"/>
    <n v="93782.25"/>
    <n v="3215"/>
    <n v="2137"/>
    <s v="Híbrido"/>
    <n v="20641.68"/>
    <s v=""/>
  </r>
  <r>
    <s v="PRJ-0134"/>
    <s v="Integração de Dados 179"/>
    <x v="48"/>
    <x v="6"/>
    <x v="3"/>
    <x v="13"/>
    <d v="2026-06-07T00:00:00"/>
    <x v="104"/>
    <x v="0"/>
    <n v="366579.84"/>
    <n v="209969.61"/>
    <n v="377786.74"/>
    <n v="2007"/>
    <n v="1346"/>
    <s v="Cascata"/>
    <n v="156610.23000000004"/>
    <s v=""/>
  </r>
  <r>
    <s v="PRJ-0135"/>
    <s v="Otimização de Segurança 211"/>
    <x v="100"/>
    <x v="2"/>
    <x v="2"/>
    <x v="104"/>
    <d v="2026-12-31T00:00:00"/>
    <x v="50"/>
    <x v="0"/>
    <n v="70021.539999999994"/>
    <n v="46833.98"/>
    <n v="85137.65"/>
    <n v="652"/>
    <n v="283"/>
    <s v="Ágil"/>
    <n v="23187.55999999999"/>
    <s v=""/>
  </r>
  <r>
    <s v="PRJ-0136"/>
    <s v="Revisão de RH 633"/>
    <x v="102"/>
    <x v="1"/>
    <x v="0"/>
    <x v="105"/>
    <d v="2026-03-23T00:00:00"/>
    <x v="74"/>
    <x v="0"/>
    <n v="127432.18"/>
    <n v="48401.82"/>
    <n v="263826.93"/>
    <n v="555"/>
    <n v="230"/>
    <s v="Híbrido"/>
    <n v="79030.359999999986"/>
    <s v=""/>
  </r>
  <r>
    <s v="PRJ-0137"/>
    <s v="Padronização de Dados 711"/>
    <x v="103"/>
    <x v="1"/>
    <x v="0"/>
    <x v="106"/>
    <d v="2026-08-27T00:00:00"/>
    <x v="105"/>
    <x v="0"/>
    <n v="56009.39"/>
    <n v="30241.01"/>
    <n v="113388.82"/>
    <n v="1500"/>
    <n v="672"/>
    <s v="Cascata"/>
    <n v="25768.38"/>
    <s v=""/>
  </r>
  <r>
    <s v="PRJ-0138"/>
    <s v="Padronização de Financeiro 702"/>
    <x v="83"/>
    <x v="5"/>
    <x v="3"/>
    <x v="107"/>
    <d v="2026-08-25T00:00:00"/>
    <x v="106"/>
    <x v="25"/>
    <n v="50000"/>
    <n v="50878.96"/>
    <n v="86361.91"/>
    <n v="1923"/>
    <n v="1817"/>
    <s v="Ágil"/>
    <n v="-878.95999999999913"/>
    <n v="31"/>
  </r>
  <r>
    <s v="PRJ-0139"/>
    <s v="Modernização de Operações 117"/>
    <x v="78"/>
    <x v="7"/>
    <x v="1"/>
    <x v="73"/>
    <d v="2026-04-17T00:00:00"/>
    <x v="107"/>
    <x v="0"/>
    <n v="173958.41"/>
    <n v="82472.33"/>
    <n v="92034.61"/>
    <n v="2133"/>
    <n v="954"/>
    <s v="Híbrido"/>
    <n v="91486.080000000002"/>
    <s v=""/>
  </r>
  <r>
    <s v="PRJ-0140"/>
    <s v="Modernização de Segurança 215"/>
    <x v="104"/>
    <x v="2"/>
    <x v="0"/>
    <x v="108"/>
    <d v="2026-12-31T00:00:00"/>
    <x v="108"/>
    <x v="0"/>
    <n v="112182.82"/>
    <n v="63130"/>
    <n v="172689.09"/>
    <n v="1152"/>
    <n v="735"/>
    <s v="Cascata"/>
    <n v="49052.820000000007"/>
    <s v=""/>
  </r>
  <r>
    <s v="PRJ-0141"/>
    <s v="Modernização de Relatórios 986"/>
    <x v="105"/>
    <x v="1"/>
    <x v="1"/>
    <x v="109"/>
    <d v="2026-12-09T00:00:00"/>
    <x v="20"/>
    <x v="0"/>
    <n v="88659.02"/>
    <n v="52867.68"/>
    <n v="89122.49"/>
    <n v="896"/>
    <n v="632"/>
    <s v="Ágil"/>
    <n v="35791.340000000004"/>
    <s v=""/>
  </r>
  <r>
    <s v="PRJ-0142"/>
    <s v="Implantação de Supply 466"/>
    <x v="106"/>
    <x v="8"/>
    <x v="0"/>
    <x v="110"/>
    <d v="2026-12-31T00:00:00"/>
    <x v="109"/>
    <x v="0"/>
    <n v="102709.8"/>
    <n v="49926.7"/>
    <n v="44807.42"/>
    <n v="114"/>
    <n v="60"/>
    <s v="Híbrido"/>
    <n v="52783.100000000006"/>
    <s v=""/>
  </r>
  <r>
    <s v="PRJ-0143"/>
    <s v="Revisão de Atendimento 346"/>
    <x v="107"/>
    <x v="1"/>
    <x v="0"/>
    <x v="111"/>
    <d v="2026-12-31T00:00:00"/>
    <x v="6"/>
    <x v="0"/>
    <n v="448251.74"/>
    <n v="0"/>
    <n v="548041.73"/>
    <n v="373"/>
    <n v="0"/>
    <s v="Cascata"/>
    <n v="448251.74"/>
    <s v=""/>
  </r>
  <r>
    <s v="PRJ-0144"/>
    <s v="Integração de Relatórios 904"/>
    <x v="73"/>
    <x v="5"/>
    <x v="0"/>
    <x v="112"/>
    <d v="2026-12-31T00:00:00"/>
    <x v="97"/>
    <x v="0"/>
    <n v="50000"/>
    <n v="16449.88"/>
    <n v="44826.84"/>
    <n v="363"/>
    <n v="116"/>
    <s v="Ágil"/>
    <n v="33550.119999999995"/>
    <s v=""/>
  </r>
  <r>
    <s v="PRJ-0145"/>
    <s v="Padronização de Plataforma 136"/>
    <x v="108"/>
    <x v="8"/>
    <x v="0"/>
    <x v="57"/>
    <d v="2026-03-03T00:00:00"/>
    <x v="110"/>
    <x v="0"/>
    <n v="164463"/>
    <n v="160329.67000000001"/>
    <n v="130375.79"/>
    <n v="297"/>
    <n v="241"/>
    <s v="Híbrido"/>
    <n v="4133.3299999999872"/>
    <s v=""/>
  </r>
  <r>
    <s v="PRJ-0146"/>
    <s v="Automação de Financeiro 793"/>
    <x v="109"/>
    <x v="4"/>
    <x v="1"/>
    <x v="113"/>
    <d v="2026-06-18T00:00:00"/>
    <x v="39"/>
    <x v="26"/>
    <n v="50000"/>
    <n v="62376.97"/>
    <n v="98629.9"/>
    <n v="2380"/>
    <n v="2421"/>
    <s v="Cascata"/>
    <n v="-12376.970000000001"/>
    <n v="89"/>
  </r>
  <r>
    <s v="PRJ-0147"/>
    <s v="Expansão de Supply 987"/>
    <x v="106"/>
    <x v="0"/>
    <x v="3"/>
    <x v="114"/>
    <d v="2026-05-29T00:00:00"/>
    <x v="111"/>
    <x v="0"/>
    <n v="235302.94"/>
    <n v="140121.07"/>
    <n v="126395.22"/>
    <n v="2530"/>
    <n v="1729"/>
    <s v="Ágil"/>
    <n v="95181.87"/>
    <s v=""/>
  </r>
  <r>
    <s v="PRJ-0148"/>
    <s v="Integração de Financeiro 303"/>
    <x v="110"/>
    <x v="5"/>
    <x v="3"/>
    <x v="3"/>
    <d v="2026-12-31T00:00:00"/>
    <x v="112"/>
    <x v="0"/>
    <n v="164691.59"/>
    <n v="46326.52"/>
    <n v="203463.02"/>
    <n v="1496"/>
    <n v="440"/>
    <s v="Híbrido"/>
    <n v="118365.07"/>
    <s v=""/>
  </r>
  <r>
    <s v="PRJ-0149"/>
    <s v="Automação de RH 978"/>
    <x v="30"/>
    <x v="7"/>
    <x v="1"/>
    <x v="115"/>
    <d v="2026-10-22T00:00:00"/>
    <x v="113"/>
    <x v="0"/>
    <n v="211412.88"/>
    <n v="82159.87"/>
    <n v="207514.32"/>
    <n v="2899"/>
    <n v="1373"/>
    <s v="Cascata"/>
    <n v="129253.01000000001"/>
    <s v=""/>
  </r>
  <r>
    <s v="PRJ-0150"/>
    <s v="Automação de Atendimento 086"/>
    <x v="54"/>
    <x v="1"/>
    <x v="1"/>
    <x v="116"/>
    <d v="2026-09-04T00:00:00"/>
    <x v="76"/>
    <x v="27"/>
    <n v="157566.45000000001"/>
    <n v="172604.85"/>
    <n v="73796.08"/>
    <n v="1700"/>
    <n v="1910"/>
    <s v="Ágil"/>
    <n v="-15038.399999999994"/>
    <n v="130"/>
  </r>
  <r>
    <s v="PRJ-0151"/>
    <s v="Modernização de Financeiro 119"/>
    <x v="111"/>
    <x v="4"/>
    <x v="2"/>
    <x v="28"/>
    <d v="2026-12-31T00:00:00"/>
    <x v="114"/>
    <x v="0"/>
    <n v="68144.44"/>
    <n v="50098.07"/>
    <n v="111992.95"/>
    <n v="428"/>
    <n v="336"/>
    <s v="Híbrido"/>
    <n v="18046.370000000003"/>
    <s v=""/>
  </r>
  <r>
    <s v="PRJ-0152"/>
    <s v="Revisão de Relatórios 768"/>
    <x v="84"/>
    <x v="1"/>
    <x v="3"/>
    <x v="117"/>
    <d v="2026-04-29T00:00:00"/>
    <x v="115"/>
    <x v="0"/>
    <n v="79006.63"/>
    <n v="37242.76"/>
    <n v="170659.39"/>
    <n v="1293"/>
    <n v="789"/>
    <s v="Cascata"/>
    <n v="41763.870000000003"/>
    <s v=""/>
  </r>
  <r>
    <s v="PRJ-0153"/>
    <s v="Modernização de Operações 691"/>
    <x v="112"/>
    <x v="9"/>
    <x v="0"/>
    <x v="61"/>
    <d v="2026-12-31T00:00:00"/>
    <x v="6"/>
    <x v="0"/>
    <n v="58739.57"/>
    <n v="0"/>
    <n v="44622.7"/>
    <n v="858"/>
    <n v="0"/>
    <s v="Ágil"/>
    <n v="58739.57"/>
    <s v=""/>
  </r>
  <r>
    <s v="PRJ-0154"/>
    <s v="Revisão de Segurança 427"/>
    <x v="91"/>
    <x v="4"/>
    <x v="1"/>
    <x v="46"/>
    <d v="2026-10-30T00:00:00"/>
    <x v="116"/>
    <x v="0"/>
    <n v="64908.2"/>
    <n v="32828.07"/>
    <n v="19489.07"/>
    <n v="1190"/>
    <n v="494"/>
    <s v="Híbrido"/>
    <n v="32080.129999999997"/>
    <s v=""/>
  </r>
  <r>
    <s v="PRJ-0155"/>
    <s v="Padronização de Processos 378"/>
    <x v="113"/>
    <x v="0"/>
    <x v="1"/>
    <x v="81"/>
    <d v="2026-05-18T00:00:00"/>
    <x v="6"/>
    <x v="0"/>
    <n v="176830.66"/>
    <n v="0"/>
    <n v="318113.34999999998"/>
    <n v="2923"/>
    <n v="0"/>
    <s v="Cascata"/>
    <n v="176830.66"/>
    <s v=""/>
  </r>
  <r>
    <s v="PRJ-0156"/>
    <s v="Otimização de Supply 002"/>
    <x v="106"/>
    <x v="1"/>
    <x v="0"/>
    <x v="0"/>
    <d v="2026-12-31T00:00:00"/>
    <x v="20"/>
    <x v="0"/>
    <n v="213697.77"/>
    <n v="206091.59"/>
    <n v="450147.55"/>
    <n v="1826"/>
    <n v="1685"/>
    <s v="Ágil"/>
    <n v="7606.179999999993"/>
    <s v=""/>
  </r>
  <r>
    <s v="PRJ-0157"/>
    <s v="Modernização de Dados 137"/>
    <x v="114"/>
    <x v="0"/>
    <x v="3"/>
    <x v="118"/>
    <d v="2026-08-11T00:00:00"/>
    <x v="117"/>
    <x v="0"/>
    <n v="50000"/>
    <n v="24937.07"/>
    <n v="19973.73"/>
    <n v="2149"/>
    <n v="1121"/>
    <s v="Híbrido"/>
    <n v="25062.93"/>
    <s v=""/>
  </r>
  <r>
    <s v="PRJ-0158"/>
    <s v="Modernização de Relatórios 109"/>
    <x v="115"/>
    <x v="1"/>
    <x v="3"/>
    <x v="119"/>
    <d v="2026-10-16T00:00:00"/>
    <x v="44"/>
    <x v="0"/>
    <n v="273668.69"/>
    <n v="117554.5"/>
    <n v="287557.03000000003"/>
    <n v="1233"/>
    <n v="546"/>
    <s v="Cascata"/>
    <n v="156114.19"/>
    <s v=""/>
  </r>
  <r>
    <s v="PRJ-0159"/>
    <s v="Automação de Plataforma 729"/>
    <x v="15"/>
    <x v="7"/>
    <x v="3"/>
    <x v="120"/>
    <d v="2026-08-15T00:00:00"/>
    <x v="118"/>
    <x v="28"/>
    <n v="50000"/>
    <n v="9947.89"/>
    <n v="53407.53"/>
    <n v="1960"/>
    <n v="399"/>
    <s v="Ágil"/>
    <n v="40052.11"/>
    <n v="28"/>
  </r>
  <r>
    <s v="PRJ-0160"/>
    <s v="Integração de Financeiro 382"/>
    <x v="33"/>
    <x v="3"/>
    <x v="0"/>
    <x v="121"/>
    <d v="2026-12-09T00:00:00"/>
    <x v="119"/>
    <x v="29"/>
    <n v="81621.17"/>
    <n v="24975.64"/>
    <n v="27208.38"/>
    <n v="834"/>
    <n v="246"/>
    <s v="Híbrido"/>
    <n v="56645.53"/>
    <n v="94"/>
  </r>
  <r>
    <s v="PRJ-0161"/>
    <s v="Expansão de RH 031"/>
    <x v="76"/>
    <x v="1"/>
    <x v="2"/>
    <x v="122"/>
    <d v="2026-09-08T00:00:00"/>
    <x v="53"/>
    <x v="30"/>
    <n v="119989.86"/>
    <n v="43228.34"/>
    <n v="140411.17000000001"/>
    <n v="455"/>
    <n v="155"/>
    <s v="Cascata"/>
    <n v="76761.52"/>
    <n v="15"/>
  </r>
  <r>
    <s v="PRJ-0162"/>
    <s v="Expansão de Relatórios 430"/>
    <x v="6"/>
    <x v="5"/>
    <x v="1"/>
    <x v="62"/>
    <d v="2026-12-31T00:00:00"/>
    <x v="120"/>
    <x v="0"/>
    <n v="102878.21"/>
    <n v="61579.25"/>
    <n v="74918.42"/>
    <n v="1322"/>
    <n v="859"/>
    <s v="Ágil"/>
    <n v="41298.960000000006"/>
    <s v=""/>
  </r>
  <r>
    <s v="PRJ-0163"/>
    <s v="Otimização de Atendimento 060"/>
    <x v="116"/>
    <x v="6"/>
    <x v="2"/>
    <x v="123"/>
    <d v="2026-07-30T00:00:00"/>
    <x v="121"/>
    <x v="0"/>
    <n v="81681.69"/>
    <n v="55244.7"/>
    <n v="162650.15"/>
    <n v="1279"/>
    <n v="906"/>
    <s v="Híbrido"/>
    <n v="26436.990000000005"/>
    <s v=""/>
  </r>
  <r>
    <s v="PRJ-0164"/>
    <s v="Revisão de Supply 936"/>
    <x v="23"/>
    <x v="2"/>
    <x v="2"/>
    <x v="124"/>
    <d v="2026-04-14T00:00:00"/>
    <x v="122"/>
    <x v="0"/>
    <n v="118148.86"/>
    <n v="55570.36"/>
    <n v="138631.53"/>
    <n v="704"/>
    <n v="283"/>
    <s v="Cascata"/>
    <n v="62578.5"/>
    <s v=""/>
  </r>
  <r>
    <s v="PRJ-0165"/>
    <s v="Integração de Relatórios 349"/>
    <x v="60"/>
    <x v="2"/>
    <x v="3"/>
    <x v="125"/>
    <d v="2026-09-06T00:00:00"/>
    <x v="28"/>
    <x v="31"/>
    <n v="70331.77"/>
    <n v="22944.14"/>
    <n v="30865.45"/>
    <n v="1769"/>
    <n v="577"/>
    <s v="Ágil"/>
    <n v="47387.630000000005"/>
    <n v="53"/>
  </r>
  <r>
    <s v="PRJ-0166"/>
    <s v="Expansão de RH 665"/>
    <x v="2"/>
    <x v="9"/>
    <x v="1"/>
    <x v="103"/>
    <d v="2026-10-06T00:00:00"/>
    <x v="123"/>
    <x v="0"/>
    <n v="50000"/>
    <n v="11836.38"/>
    <n v="62395.09"/>
    <n v="4312"/>
    <n v="795"/>
    <s v="Híbrido"/>
    <n v="38163.620000000003"/>
    <s v=""/>
  </r>
  <r>
    <s v="PRJ-0167"/>
    <s v="Automação de Operações 326"/>
    <x v="117"/>
    <x v="4"/>
    <x v="1"/>
    <x v="126"/>
    <d v="2026-12-31T00:00:00"/>
    <x v="124"/>
    <x v="0"/>
    <n v="529547.12"/>
    <n v="251864.55"/>
    <n v="559143.29"/>
    <n v="809"/>
    <n v="506"/>
    <s v="Cascata"/>
    <n v="277682.57"/>
    <s v=""/>
  </r>
  <r>
    <s v="PRJ-0168"/>
    <s v="Implantação de Plataforma 738"/>
    <x v="118"/>
    <x v="1"/>
    <x v="2"/>
    <x v="79"/>
    <d v="2026-08-05T00:00:00"/>
    <x v="62"/>
    <x v="0"/>
    <n v="57084.97"/>
    <n v="32231.46"/>
    <n v="43199.5"/>
    <n v="1419"/>
    <n v="1089"/>
    <s v="Ágil"/>
    <n v="24853.510000000002"/>
    <s v=""/>
  </r>
  <r>
    <s v="PRJ-0169"/>
    <s v="Padronização de Plataforma 819"/>
    <x v="119"/>
    <x v="3"/>
    <x v="0"/>
    <x v="19"/>
    <d v="2026-09-05T00:00:00"/>
    <x v="118"/>
    <x v="32"/>
    <n v="153182.39999999999"/>
    <n v="176697.51"/>
    <n v="128174.23"/>
    <n v="1900"/>
    <n v="1676"/>
    <s v="Híbrido"/>
    <n v="-23515.110000000015"/>
    <n v="114"/>
  </r>
  <r>
    <s v="PRJ-0170"/>
    <s v="Automação de Operações 912"/>
    <x v="120"/>
    <x v="9"/>
    <x v="3"/>
    <x v="127"/>
    <d v="2026-06-15T00:00:00"/>
    <x v="125"/>
    <x v="0"/>
    <n v="200688.64000000001"/>
    <n v="119813.41"/>
    <n v="86519.77"/>
    <n v="6724"/>
    <n v="4570"/>
    <s v="Cascata"/>
    <n v="80875.23000000001"/>
    <s v=""/>
  </r>
  <r>
    <s v="PRJ-0171"/>
    <s v="Automação de Processos 370"/>
    <x v="121"/>
    <x v="9"/>
    <x v="3"/>
    <x v="66"/>
    <d v="2026-11-10T00:00:00"/>
    <x v="126"/>
    <x v="0"/>
    <n v="65950.259999999995"/>
    <n v="36847.129999999997"/>
    <n v="19786.54"/>
    <n v="472"/>
    <n v="234"/>
    <s v="Ágil"/>
    <n v="29103.129999999997"/>
    <s v=""/>
  </r>
  <r>
    <s v="PRJ-0172"/>
    <s v="Padronização de Atendimento 094"/>
    <x v="122"/>
    <x v="0"/>
    <x v="0"/>
    <x v="128"/>
    <d v="2026-05-22T00:00:00"/>
    <x v="87"/>
    <x v="0"/>
    <n v="168223.71"/>
    <n v="36000.019999999997"/>
    <n v="154439.59"/>
    <n v="769"/>
    <n v="172"/>
    <s v="Híbrido"/>
    <n v="132223.69"/>
    <s v=""/>
  </r>
  <r>
    <s v="PRJ-0173"/>
    <s v="Revisão de Dados 424"/>
    <x v="48"/>
    <x v="5"/>
    <x v="0"/>
    <x v="129"/>
    <d v="2026-12-29T00:00:00"/>
    <x v="127"/>
    <x v="0"/>
    <n v="50799.64"/>
    <n v="20074.29"/>
    <n v="107147.69"/>
    <n v="5923"/>
    <n v="1694"/>
    <s v="Cascata"/>
    <n v="30725.35"/>
    <s v=""/>
  </r>
  <r>
    <s v="PRJ-0174"/>
    <s v="Automação de Plataforma 973"/>
    <x v="123"/>
    <x v="4"/>
    <x v="0"/>
    <x v="130"/>
    <d v="2026-10-11T00:00:00"/>
    <x v="128"/>
    <x v="0"/>
    <n v="160392.38"/>
    <n v="179952.62"/>
    <n v="265805.56"/>
    <n v="1181"/>
    <n v="985"/>
    <s v="Ágil"/>
    <n v="-19560.239999999991"/>
    <s v=""/>
  </r>
  <r>
    <s v="PRJ-0175"/>
    <s v="Expansão de Dados 334"/>
    <x v="101"/>
    <x v="5"/>
    <x v="0"/>
    <x v="131"/>
    <d v="2026-07-21T00:00:00"/>
    <x v="129"/>
    <x v="0"/>
    <n v="230168.2"/>
    <n v="59373.96"/>
    <n v="286074.13"/>
    <n v="1262"/>
    <n v="344"/>
    <s v="Híbrido"/>
    <n v="170794.24000000002"/>
    <s v=""/>
  </r>
  <r>
    <s v="PRJ-0176"/>
    <s v="Revisão de Financeiro 271"/>
    <x v="83"/>
    <x v="7"/>
    <x v="0"/>
    <x v="67"/>
    <d v="2026-12-04T00:00:00"/>
    <x v="101"/>
    <x v="0"/>
    <n v="183378.05"/>
    <n v="131643.29999999999"/>
    <n v="391946.2"/>
    <n v="3675"/>
    <n v="2289"/>
    <s v="Cascata"/>
    <n v="51734.75"/>
    <s v=""/>
  </r>
  <r>
    <s v="PRJ-0177"/>
    <s v="Otimização de Supply 838"/>
    <x v="51"/>
    <x v="1"/>
    <x v="1"/>
    <x v="132"/>
    <d v="2026-12-31T00:00:00"/>
    <x v="130"/>
    <x v="0"/>
    <n v="50000"/>
    <n v="28765.57"/>
    <n v="90684.73"/>
    <n v="330"/>
    <n v="146"/>
    <s v="Ágil"/>
    <n v="21234.43"/>
    <s v=""/>
  </r>
  <r>
    <s v="PRJ-0178"/>
    <s v="Padronização de Dados 889"/>
    <x v="124"/>
    <x v="8"/>
    <x v="0"/>
    <x v="133"/>
    <d v="2026-07-25T00:00:00"/>
    <x v="131"/>
    <x v="33"/>
    <n v="50000"/>
    <n v="0"/>
    <n v="21493.55"/>
    <n v="1527"/>
    <n v="0"/>
    <s v="Híbrido"/>
    <n v="50000"/>
    <n v="52"/>
  </r>
  <r>
    <s v="PRJ-0179"/>
    <s v="Integração de Atendimento 378"/>
    <x v="116"/>
    <x v="4"/>
    <x v="1"/>
    <x v="134"/>
    <d v="2026-04-05T00:00:00"/>
    <x v="94"/>
    <x v="0"/>
    <n v="314518.88"/>
    <n v="239748.12"/>
    <n v="543106.68000000005"/>
    <n v="1513"/>
    <n v="1250"/>
    <s v="Cascata"/>
    <n v="74770.760000000009"/>
    <s v=""/>
  </r>
  <r>
    <s v="PRJ-0180"/>
    <s v="Otimização de Financeiro 051"/>
    <x v="39"/>
    <x v="3"/>
    <x v="0"/>
    <x v="71"/>
    <d v="2026-11-05T00:00:00"/>
    <x v="64"/>
    <x v="0"/>
    <n v="225979.48"/>
    <n v="165811.51"/>
    <n v="238513.1"/>
    <n v="1992"/>
    <n v="1192"/>
    <s v="Ágil"/>
    <n v="60167.97"/>
    <s v=""/>
  </r>
  <r>
    <s v="PRJ-0181"/>
    <s v="Integração de Atendimento 623"/>
    <x v="125"/>
    <x v="6"/>
    <x v="3"/>
    <x v="135"/>
    <d v="2026-03-07T00:00:00"/>
    <x v="132"/>
    <x v="0"/>
    <n v="288476.48"/>
    <n v="304034.53999999998"/>
    <n v="94825.19"/>
    <n v="561"/>
    <n v="628"/>
    <s v="Híbrido"/>
    <n v="-15558.059999999998"/>
    <s v=""/>
  </r>
  <r>
    <s v="PRJ-0182"/>
    <s v="Implantação de Atendimento 701"/>
    <x v="126"/>
    <x v="3"/>
    <x v="0"/>
    <x v="136"/>
    <d v="2026-11-30T00:00:00"/>
    <x v="133"/>
    <x v="0"/>
    <n v="176271.22"/>
    <n v="187894.99"/>
    <n v="58037.35"/>
    <n v="1232"/>
    <n v="1251"/>
    <s v="Cascata"/>
    <n v="-11623.76999999999"/>
    <s v=""/>
  </r>
  <r>
    <s v="PRJ-0183"/>
    <s v="Revisão de Relatórios 739"/>
    <x v="70"/>
    <x v="0"/>
    <x v="2"/>
    <x v="137"/>
    <d v="2026-12-31T00:00:00"/>
    <x v="48"/>
    <x v="3"/>
    <n v="73451.34"/>
    <n v="89303.57"/>
    <n v="82606.3"/>
    <n v="1505"/>
    <n v="1350"/>
    <s v="Ágil"/>
    <n v="-15852.23000000001"/>
    <n v="30"/>
  </r>
  <r>
    <s v="PRJ-0184"/>
    <s v="Implantação de Relatórios 861"/>
    <x v="61"/>
    <x v="8"/>
    <x v="2"/>
    <x v="138"/>
    <d v="2026-12-16T00:00:00"/>
    <x v="134"/>
    <x v="0"/>
    <n v="81836.100000000006"/>
    <n v="33003.11"/>
    <n v="57888.59"/>
    <n v="1478"/>
    <n v="790"/>
    <s v="Híbrido"/>
    <n v="48832.990000000005"/>
    <s v=""/>
  </r>
  <r>
    <s v="PRJ-0185"/>
    <s v="Implantação de Operações 302"/>
    <x v="24"/>
    <x v="8"/>
    <x v="3"/>
    <x v="139"/>
    <d v="2026-12-31T00:00:00"/>
    <x v="8"/>
    <x v="0"/>
    <n v="116473.59"/>
    <n v="18861.599999999999"/>
    <n v="150338.65"/>
    <n v="432"/>
    <n v="77"/>
    <s v="Cascata"/>
    <n v="97611.989999999991"/>
    <s v=""/>
  </r>
  <r>
    <s v="PRJ-0186"/>
    <s v="Expansão de Operações 915"/>
    <x v="120"/>
    <x v="7"/>
    <x v="0"/>
    <x v="140"/>
    <d v="2026-09-06T00:00:00"/>
    <x v="135"/>
    <x v="34"/>
    <n v="50000"/>
    <n v="51052.03"/>
    <n v="57041.82"/>
    <n v="5709"/>
    <n v="4617"/>
    <s v="Ágil"/>
    <n v="-1052.0299999999988"/>
    <n v="172"/>
  </r>
  <r>
    <s v="PRJ-0187"/>
    <s v="Modernização de Relatórios 630"/>
    <x v="57"/>
    <x v="2"/>
    <x v="0"/>
    <x v="141"/>
    <d v="2026-12-31T00:00:00"/>
    <x v="136"/>
    <x v="0"/>
    <n v="56852.63"/>
    <n v="40950.839999999997"/>
    <n v="99630.67"/>
    <n v="823"/>
    <n v="547"/>
    <s v="Híbrido"/>
    <n v="15901.79"/>
    <s v=""/>
  </r>
  <r>
    <s v="PRJ-0188"/>
    <s v="Revisão de Atendimento 133"/>
    <x v="126"/>
    <x v="3"/>
    <x v="2"/>
    <x v="106"/>
    <d v="2026-08-30T00:00:00"/>
    <x v="6"/>
    <x v="0"/>
    <n v="128538.48"/>
    <n v="0"/>
    <n v="114223.54"/>
    <n v="1460"/>
    <n v="0"/>
    <s v="Cascata"/>
    <n v="128538.48"/>
    <s v=""/>
  </r>
  <r>
    <s v="PRJ-0189"/>
    <s v="Integração de Relatórios 971"/>
    <x v="105"/>
    <x v="4"/>
    <x v="1"/>
    <x v="136"/>
    <d v="2026-12-27T00:00:00"/>
    <x v="137"/>
    <x v="0"/>
    <n v="128322.72"/>
    <n v="64905.98"/>
    <n v="267954.46000000002"/>
    <n v="4713"/>
    <n v="2749"/>
    <s v="Ágil"/>
    <n v="63416.74"/>
    <s v=""/>
  </r>
  <r>
    <s v="PRJ-0190"/>
    <s v="Otimização de Plataforma 670"/>
    <x v="118"/>
    <x v="6"/>
    <x v="0"/>
    <x v="142"/>
    <d v="2026-05-28T00:00:00"/>
    <x v="138"/>
    <x v="0"/>
    <n v="131559.71"/>
    <n v="24422.82"/>
    <n v="96859.06"/>
    <n v="515"/>
    <n v="101"/>
    <s v="Híbrido"/>
    <n v="107136.88999999998"/>
    <s v=""/>
  </r>
  <r>
    <s v="PRJ-0191"/>
    <s v="Automação de Financeiro 851"/>
    <x v="33"/>
    <x v="0"/>
    <x v="3"/>
    <x v="128"/>
    <d v="2026-09-22T00:00:00"/>
    <x v="139"/>
    <x v="0"/>
    <n v="62829.55"/>
    <n v="11784.58"/>
    <n v="92420.44"/>
    <n v="5859"/>
    <n v="1018"/>
    <s v="Cascata"/>
    <n v="51044.97"/>
    <s v=""/>
  </r>
  <r>
    <s v="PRJ-0192"/>
    <s v="Integração de RH 339"/>
    <x v="127"/>
    <x v="1"/>
    <x v="3"/>
    <x v="6"/>
    <d v="2026-05-29T00:00:00"/>
    <x v="140"/>
    <x v="0"/>
    <n v="206781.12"/>
    <n v="127489.03"/>
    <n v="299979.84999999998"/>
    <n v="218"/>
    <n v="111"/>
    <s v="Ágil"/>
    <n v="79292.09"/>
    <s v=""/>
  </r>
  <r>
    <s v="PRJ-0193"/>
    <s v="Padronização de Processos 103"/>
    <x v="128"/>
    <x v="9"/>
    <x v="2"/>
    <x v="143"/>
    <d v="2026-10-03T00:00:00"/>
    <x v="137"/>
    <x v="0"/>
    <n v="53530.48"/>
    <n v="33928.69"/>
    <n v="86098.43"/>
    <n v="470"/>
    <n v="317"/>
    <s v="Híbrido"/>
    <n v="19601.79"/>
    <s v=""/>
  </r>
  <r>
    <s v="PRJ-0194"/>
    <s v="Revisão de Relatórios 117"/>
    <x v="57"/>
    <x v="8"/>
    <x v="0"/>
    <x v="144"/>
    <d v="2026-03-17T00:00:00"/>
    <x v="141"/>
    <x v="0"/>
    <n v="56468.800000000003"/>
    <n v="26321.65"/>
    <n v="24126.29"/>
    <n v="2060"/>
    <n v="947"/>
    <s v="Cascata"/>
    <n v="30147.15"/>
    <s v=""/>
  </r>
  <r>
    <s v="PRJ-0195"/>
    <s v="Padronização de Relatórios 626"/>
    <x v="99"/>
    <x v="7"/>
    <x v="0"/>
    <x v="145"/>
    <d v="2026-04-10T00:00:00"/>
    <x v="129"/>
    <x v="0"/>
    <n v="50000"/>
    <n v="19480.759999999998"/>
    <n v="50109.55"/>
    <n v="221"/>
    <n v="69"/>
    <s v="Ágil"/>
    <n v="30519.24"/>
    <s v=""/>
  </r>
  <r>
    <s v="PRJ-0196"/>
    <s v="Integração de Supply 532"/>
    <x v="8"/>
    <x v="1"/>
    <x v="0"/>
    <x v="100"/>
    <d v="2026-12-11T00:00:00"/>
    <x v="142"/>
    <x v="0"/>
    <n v="105408.28"/>
    <n v="32007.08"/>
    <n v="182179.16"/>
    <n v="5389"/>
    <n v="1403"/>
    <s v="Híbrido"/>
    <n v="73401.2"/>
    <s v=""/>
  </r>
  <r>
    <s v="PRJ-0197"/>
    <s v="Automação de Plataforma 770"/>
    <x v="129"/>
    <x v="0"/>
    <x v="0"/>
    <x v="146"/>
    <d v="2026-10-05T00:00:00"/>
    <x v="143"/>
    <x v="0"/>
    <n v="117524.01"/>
    <n v="85404.26"/>
    <n v="181322.18"/>
    <n v="1590"/>
    <n v="882"/>
    <s v="Cascata"/>
    <n v="32119.75"/>
    <s v=""/>
  </r>
  <r>
    <s v="PRJ-0198"/>
    <s v="Revisão de Plataforma 510"/>
    <x v="118"/>
    <x v="6"/>
    <x v="2"/>
    <x v="147"/>
    <d v="2026-08-31T00:00:00"/>
    <x v="144"/>
    <x v="0"/>
    <n v="50000"/>
    <n v="27295.55"/>
    <n v="32852.44"/>
    <n v="1760"/>
    <n v="720"/>
    <s v="Ágil"/>
    <n v="22704.45"/>
    <s v=""/>
  </r>
  <r>
    <s v="PRJ-0199"/>
    <s v="Integração de RH 340"/>
    <x v="45"/>
    <x v="3"/>
    <x v="1"/>
    <x v="25"/>
    <d v="2026-12-29T00:00:00"/>
    <x v="23"/>
    <x v="3"/>
    <n v="153675.88"/>
    <n v="150572.35"/>
    <n v="124795.96"/>
    <n v="1453"/>
    <n v="1636"/>
    <s v="Híbrido"/>
    <n v="3103.5299999999988"/>
    <n v="27"/>
  </r>
  <r>
    <s v="PRJ-0200"/>
    <s v="Padronização de Relatórios 842"/>
    <x v="105"/>
    <x v="1"/>
    <x v="0"/>
    <x v="148"/>
    <d v="2026-08-01T00:00:00"/>
    <x v="117"/>
    <x v="0"/>
    <n v="311074.58"/>
    <n v="98645.15"/>
    <n v="246742.88"/>
    <n v="5142"/>
    <n v="1841"/>
    <s v="Cascata"/>
    <n v="212429.43000000002"/>
    <s v=""/>
  </r>
  <r>
    <s v="PRJ-0201"/>
    <s v="Automação de RH 005"/>
    <x v="130"/>
    <x v="8"/>
    <x v="1"/>
    <x v="43"/>
    <d v="2026-09-29T00:00:00"/>
    <x v="145"/>
    <x v="0"/>
    <n v="165330.64000000001"/>
    <n v="76827.960000000006"/>
    <n v="79415.59"/>
    <n v="1416"/>
    <n v="493"/>
    <s v="Ágil"/>
    <n v="88502.680000000008"/>
    <s v=""/>
  </r>
  <r>
    <s v="PRJ-0202"/>
    <s v="Expansão de Financeiro 624"/>
    <x v="17"/>
    <x v="4"/>
    <x v="0"/>
    <x v="22"/>
    <d v="2026-12-31T00:00:00"/>
    <x v="146"/>
    <x v="0"/>
    <n v="164789.94"/>
    <n v="9160.15"/>
    <n v="53939.83"/>
    <n v="2849"/>
    <n v="150"/>
    <s v="Híbrido"/>
    <n v="155629.79"/>
    <s v=""/>
  </r>
  <r>
    <s v="PRJ-0203"/>
    <s v="Implantação de Supply 944"/>
    <x v="64"/>
    <x v="3"/>
    <x v="2"/>
    <x v="149"/>
    <d v="2026-12-12T00:00:00"/>
    <x v="147"/>
    <x v="0"/>
    <n v="100621.62"/>
    <n v="67271.73"/>
    <n v="165427.41"/>
    <n v="3188"/>
    <n v="2205"/>
    <s v="Cascata"/>
    <n v="33349.89"/>
    <s v=""/>
  </r>
  <r>
    <s v="PRJ-0204"/>
    <s v="Otimização de Financeiro 149"/>
    <x v="131"/>
    <x v="4"/>
    <x v="0"/>
    <x v="58"/>
    <d v="2026-12-31T00:00:00"/>
    <x v="130"/>
    <x v="0"/>
    <n v="354299.62"/>
    <n v="206839.15"/>
    <n v="560535.29"/>
    <n v="1023"/>
    <n v="624"/>
    <s v="Ágil"/>
    <n v="147460.47"/>
    <s v=""/>
  </r>
  <r>
    <s v="PRJ-0205"/>
    <s v="Integração de Dados 399"/>
    <x v="103"/>
    <x v="6"/>
    <x v="0"/>
    <x v="84"/>
    <d v="2026-05-01T00:00:00"/>
    <x v="148"/>
    <x v="0"/>
    <n v="133091.82999999999"/>
    <n v="36160.17"/>
    <n v="208787.16"/>
    <n v="4502"/>
    <n v="1227"/>
    <s v="Híbrido"/>
    <n v="96931.659999999989"/>
    <s v=""/>
  </r>
  <r>
    <s v="PRJ-0206"/>
    <s v="Revisão de Operações 560"/>
    <x v="117"/>
    <x v="8"/>
    <x v="2"/>
    <x v="150"/>
    <d v="2026-11-19T00:00:00"/>
    <x v="149"/>
    <x v="35"/>
    <n v="76877.289999999994"/>
    <n v="82953.89"/>
    <n v="63525.53"/>
    <n v="1210"/>
    <n v="1394"/>
    <s v="Cascata"/>
    <n v="-6076.6000000000058"/>
    <n v="24"/>
  </r>
  <r>
    <s v="PRJ-0207"/>
    <s v="Otimização de Supply 478"/>
    <x v="132"/>
    <x v="6"/>
    <x v="3"/>
    <x v="151"/>
    <d v="2026-12-16T00:00:00"/>
    <x v="6"/>
    <x v="0"/>
    <n v="187089.62"/>
    <n v="0"/>
    <n v="362896.61"/>
    <n v="2345"/>
    <n v="0"/>
    <s v="Ágil"/>
    <n v="187089.62"/>
    <s v=""/>
  </r>
  <r>
    <s v="PRJ-0208"/>
    <s v="Modernização de Dados 164"/>
    <x v="87"/>
    <x v="5"/>
    <x v="3"/>
    <x v="152"/>
    <d v="2026-11-04T00:00:00"/>
    <x v="150"/>
    <x v="0"/>
    <n v="54324.87"/>
    <n v="26245.85"/>
    <n v="39971.97"/>
    <n v="1821"/>
    <n v="1105"/>
    <s v="Híbrido"/>
    <n v="28079.020000000004"/>
    <s v=""/>
  </r>
  <r>
    <s v="PRJ-0209"/>
    <s v="Revisão de RH 247"/>
    <x v="45"/>
    <x v="4"/>
    <x v="1"/>
    <x v="115"/>
    <d v="2026-09-14T00:00:00"/>
    <x v="151"/>
    <x v="0"/>
    <n v="58699.58"/>
    <n v="43741.82"/>
    <n v="43541.08"/>
    <n v="1804"/>
    <n v="1541"/>
    <s v="Cascata"/>
    <n v="14957.760000000002"/>
    <s v=""/>
  </r>
  <r>
    <s v="PRJ-0210"/>
    <s v="Padronização de Processos 304"/>
    <x v="113"/>
    <x v="6"/>
    <x v="0"/>
    <x v="153"/>
    <d v="2026-07-11T00:00:00"/>
    <x v="152"/>
    <x v="36"/>
    <n v="50074"/>
    <n v="48620.24"/>
    <n v="68625.210000000006"/>
    <n v="797"/>
    <n v="793"/>
    <s v="Ágil"/>
    <n v="1453.760000000002"/>
    <n v="66"/>
  </r>
  <r>
    <s v="PRJ-0211"/>
    <s v="Expansão de Plataforma 765"/>
    <x v="133"/>
    <x v="4"/>
    <x v="2"/>
    <x v="154"/>
    <d v="2026-03-17T00:00:00"/>
    <x v="153"/>
    <x v="37"/>
    <n v="63599.94"/>
    <n v="55509.49"/>
    <n v="69664.44"/>
    <n v="1982"/>
    <n v="2012"/>
    <s v="Híbrido"/>
    <n v="8090.4500000000044"/>
    <n v="97"/>
  </r>
  <r>
    <s v="PRJ-0212"/>
    <s v="Otimização de Financeiro 690"/>
    <x v="33"/>
    <x v="7"/>
    <x v="1"/>
    <x v="155"/>
    <d v="2026-04-12T00:00:00"/>
    <x v="154"/>
    <x v="0"/>
    <n v="50000"/>
    <n v="30386.400000000001"/>
    <n v="60902.18"/>
    <n v="622"/>
    <n v="280"/>
    <s v="Cascata"/>
    <n v="19613.599999999999"/>
    <s v=""/>
  </r>
  <r>
    <s v="PRJ-0213"/>
    <s v="Expansão de Processos 486"/>
    <x v="134"/>
    <x v="9"/>
    <x v="0"/>
    <x v="156"/>
    <d v="2026-12-08T00:00:00"/>
    <x v="95"/>
    <x v="0"/>
    <n v="845547.3"/>
    <n v="487125.73"/>
    <n v="1141538.1599999999"/>
    <n v="1060"/>
    <n v="481"/>
    <s v="Ágil"/>
    <n v="358421.57000000007"/>
    <s v=""/>
  </r>
  <r>
    <s v="PRJ-0214"/>
    <s v="Expansão de Dados 561"/>
    <x v="135"/>
    <x v="6"/>
    <x v="0"/>
    <x v="56"/>
    <d v="2026-05-09T00:00:00"/>
    <x v="155"/>
    <x v="38"/>
    <n v="117763.44"/>
    <n v="117742.16"/>
    <n v="213822.05"/>
    <n v="696"/>
    <n v="618"/>
    <s v="Híbrido"/>
    <n v="21.279999999998836"/>
    <n v="39"/>
  </r>
  <r>
    <s v="PRJ-0215"/>
    <s v="Padronização de Dados 075"/>
    <x v="124"/>
    <x v="6"/>
    <x v="1"/>
    <x v="157"/>
    <d v="2026-06-06T00:00:00"/>
    <x v="156"/>
    <x v="39"/>
    <n v="133275.48000000001"/>
    <n v="146727.18"/>
    <n v="229967.5"/>
    <n v="1305"/>
    <n v="1065"/>
    <s v="Cascata"/>
    <n v="-13451.699999999983"/>
    <n v="74"/>
  </r>
  <r>
    <s v="PRJ-0216"/>
    <s v="Implantação de Operações 157"/>
    <x v="136"/>
    <x v="8"/>
    <x v="1"/>
    <x v="158"/>
    <d v="2026-12-31T00:00:00"/>
    <x v="109"/>
    <x v="3"/>
    <n v="84977.07"/>
    <n v="88140.56"/>
    <n v="100780.16"/>
    <n v="1151"/>
    <n v="999"/>
    <s v="Ágil"/>
    <n v="-3163.4899999999907"/>
    <n v="24"/>
  </r>
  <r>
    <s v="PRJ-0217"/>
    <s v="Revisão de Atendimento 499"/>
    <x v="34"/>
    <x v="2"/>
    <x v="2"/>
    <x v="89"/>
    <d v="2026-12-31T00:00:00"/>
    <x v="157"/>
    <x v="0"/>
    <n v="117279.73"/>
    <n v="91468.43"/>
    <n v="46379.64"/>
    <n v="742"/>
    <n v="538"/>
    <s v="Híbrido"/>
    <n v="25811.300000000003"/>
    <s v=""/>
  </r>
  <r>
    <s v="PRJ-0218"/>
    <s v="Expansão de Operações 218"/>
    <x v="137"/>
    <x v="5"/>
    <x v="0"/>
    <x v="6"/>
    <d v="2026-07-09T00:00:00"/>
    <x v="22"/>
    <x v="0"/>
    <n v="179955.22"/>
    <n v="28126.59"/>
    <n v="328012.83"/>
    <n v="2243"/>
    <n v="391"/>
    <s v="Cascata"/>
    <n v="151828.63"/>
    <s v=""/>
  </r>
  <r>
    <s v="PRJ-0219"/>
    <s v="Automação de Dados 144"/>
    <x v="95"/>
    <x v="8"/>
    <x v="0"/>
    <x v="159"/>
    <d v="2026-08-05T00:00:00"/>
    <x v="158"/>
    <x v="0"/>
    <n v="278367.49"/>
    <n v="184072.07"/>
    <n v="266024.43"/>
    <n v="2348"/>
    <n v="1525"/>
    <s v="Ágil"/>
    <n v="94295.419999999984"/>
    <s v=""/>
  </r>
  <r>
    <s v="PRJ-0220"/>
    <s v="Padronização de RH 903"/>
    <x v="30"/>
    <x v="5"/>
    <x v="0"/>
    <x v="160"/>
    <d v="2026-06-11T00:00:00"/>
    <x v="159"/>
    <x v="0"/>
    <n v="320659.96000000002"/>
    <n v="303662.77"/>
    <n v="303327.18"/>
    <n v="1369"/>
    <n v="910"/>
    <s v="Híbrido"/>
    <n v="16997.190000000002"/>
    <s v=""/>
  </r>
  <r>
    <s v="PRJ-0221"/>
    <s v="Implantação de Financeiro 997"/>
    <x v="39"/>
    <x v="2"/>
    <x v="0"/>
    <x v="22"/>
    <d v="2026-12-31T00:00:00"/>
    <x v="134"/>
    <x v="3"/>
    <n v="50000"/>
    <n v="45509.45"/>
    <n v="106967.26"/>
    <n v="1939"/>
    <n v="2136"/>
    <s v="Cascata"/>
    <n v="4490.5500000000029"/>
    <n v="67"/>
  </r>
  <r>
    <s v="PRJ-0222"/>
    <s v="Automação de Relatórios 371"/>
    <x v="138"/>
    <x v="3"/>
    <x v="0"/>
    <x v="37"/>
    <d v="2026-12-28T00:00:00"/>
    <x v="160"/>
    <x v="0"/>
    <n v="172682.67"/>
    <n v="59217.52"/>
    <n v="269504.95"/>
    <n v="1603"/>
    <n v="841"/>
    <s v="Ágil"/>
    <n v="113465.15000000002"/>
    <s v=""/>
  </r>
  <r>
    <s v="PRJ-0223"/>
    <s v="Otimização de Operações 151"/>
    <x v="112"/>
    <x v="6"/>
    <x v="0"/>
    <x v="161"/>
    <d v="2026-08-13T00:00:00"/>
    <x v="161"/>
    <x v="0"/>
    <n v="62549.84"/>
    <n v="38549.31"/>
    <n v="77333.95"/>
    <n v="2437"/>
    <n v="1325"/>
    <s v="Híbrido"/>
    <n v="24000.53"/>
    <s v=""/>
  </r>
  <r>
    <s v="PRJ-0224"/>
    <s v="Automação de Operações 841"/>
    <x v="139"/>
    <x v="8"/>
    <x v="3"/>
    <x v="36"/>
    <d v="2026-12-31T00:00:00"/>
    <x v="27"/>
    <x v="3"/>
    <n v="83001.240000000005"/>
    <n v="55352.54"/>
    <n v="26605.31"/>
    <n v="810"/>
    <n v="586"/>
    <s v="Cascata"/>
    <n v="27648.700000000004"/>
    <n v="11"/>
  </r>
  <r>
    <s v="PRJ-0225"/>
    <s v="Expansão de Relatórios 621"/>
    <x v="140"/>
    <x v="4"/>
    <x v="1"/>
    <x v="162"/>
    <d v="2026-05-12T00:00:00"/>
    <x v="125"/>
    <x v="40"/>
    <n v="121321.83"/>
    <n v="117505.41"/>
    <n v="252689.09"/>
    <n v="1531"/>
    <n v="1649"/>
    <s v="Ágil"/>
    <n v="3816.4199999999983"/>
    <n v="104"/>
  </r>
  <r>
    <s v="PRJ-0226"/>
    <s v="Revisão de Processos 715"/>
    <x v="68"/>
    <x v="7"/>
    <x v="0"/>
    <x v="163"/>
    <d v="2026-12-31T00:00:00"/>
    <x v="60"/>
    <x v="0"/>
    <n v="50000"/>
    <n v="17464.68"/>
    <n v="92966.14"/>
    <n v="297"/>
    <n v="117"/>
    <s v="Híbrido"/>
    <n v="32535.32"/>
    <s v=""/>
  </r>
  <r>
    <s v="PRJ-0227"/>
    <s v="Expansão de Atendimento 194"/>
    <x v="141"/>
    <x v="6"/>
    <x v="0"/>
    <x v="164"/>
    <d v="2026-12-13T00:00:00"/>
    <x v="162"/>
    <x v="0"/>
    <n v="63293.919999999998"/>
    <n v="35648.019999999997"/>
    <n v="65240.91"/>
    <n v="1021"/>
    <n v="472"/>
    <s v="Cascata"/>
    <n v="27645.9"/>
    <s v=""/>
  </r>
  <r>
    <s v="PRJ-0228"/>
    <s v="Implantação de Financeiro 774"/>
    <x v="142"/>
    <x v="1"/>
    <x v="3"/>
    <x v="165"/>
    <d v="2026-09-19T00:00:00"/>
    <x v="15"/>
    <x v="0"/>
    <n v="103485.56"/>
    <n v="35264.81"/>
    <n v="113168.42"/>
    <n v="1354"/>
    <n v="414"/>
    <s v="Ágil"/>
    <n v="68220.75"/>
    <s v=""/>
  </r>
  <r>
    <s v="PRJ-0229"/>
    <s v="Automação de Plataforma 220"/>
    <x v="143"/>
    <x v="4"/>
    <x v="1"/>
    <x v="123"/>
    <d v="2026-09-16T00:00:00"/>
    <x v="163"/>
    <x v="0"/>
    <n v="138744.85"/>
    <n v="56850.3"/>
    <n v="69533.539999999994"/>
    <n v="731"/>
    <n v="339"/>
    <s v="Híbrido"/>
    <n v="81894.55"/>
    <s v=""/>
  </r>
  <r>
    <s v="PRJ-0230"/>
    <s v="Expansão de Financeiro 629"/>
    <x v="29"/>
    <x v="2"/>
    <x v="1"/>
    <x v="166"/>
    <d v="2026-10-30T00:00:00"/>
    <x v="6"/>
    <x v="0"/>
    <n v="91609.52"/>
    <n v="0"/>
    <n v="180537.39"/>
    <n v="2142"/>
    <n v="0"/>
    <s v="Cascata"/>
    <n v="91609.52"/>
    <s v=""/>
  </r>
  <r>
    <s v="PRJ-0231"/>
    <s v="Automação de Processos 369"/>
    <x v="128"/>
    <x v="1"/>
    <x v="2"/>
    <x v="131"/>
    <d v="2026-07-22T00:00:00"/>
    <x v="164"/>
    <x v="0"/>
    <n v="484990.25"/>
    <n v="237773.22"/>
    <n v="905232.31"/>
    <n v="2899"/>
    <n v="1583"/>
    <s v="Ágil"/>
    <n v="247217.03"/>
    <s v=""/>
  </r>
  <r>
    <s v="PRJ-0232"/>
    <s v="Revisão de Supply 987"/>
    <x v="56"/>
    <x v="5"/>
    <x v="2"/>
    <x v="77"/>
    <d v="2026-12-31T00:00:00"/>
    <x v="165"/>
    <x v="0"/>
    <n v="169118.44"/>
    <n v="8287.52"/>
    <n v="138135.49"/>
    <n v="3461"/>
    <n v="204"/>
    <s v="Híbrido"/>
    <n v="160830.92000000001"/>
    <s v=""/>
  </r>
  <r>
    <s v="PRJ-0233"/>
    <s v="Implantação de RH 990"/>
    <x v="144"/>
    <x v="1"/>
    <x v="3"/>
    <x v="167"/>
    <d v="2026-10-20T00:00:00"/>
    <x v="6"/>
    <x v="0"/>
    <n v="289912.89"/>
    <n v="0"/>
    <n v="632483.06000000006"/>
    <n v="877"/>
    <n v="0"/>
    <s v="Cascata"/>
    <n v="289912.89"/>
    <s v=""/>
  </r>
  <r>
    <s v="PRJ-0234"/>
    <s v="Expansão de Supply 529"/>
    <x v="23"/>
    <x v="7"/>
    <x v="0"/>
    <x v="134"/>
    <d v="2026-04-12T00:00:00"/>
    <x v="80"/>
    <x v="0"/>
    <n v="55713.760000000002"/>
    <n v="15479.05"/>
    <n v="33674.99"/>
    <n v="887"/>
    <n v="246"/>
    <s v="Ágil"/>
    <n v="40234.710000000006"/>
    <s v=""/>
  </r>
  <r>
    <s v="PRJ-0235"/>
    <s v="Integração de Segurança 754"/>
    <x v="145"/>
    <x v="8"/>
    <x v="3"/>
    <x v="32"/>
    <d v="2026-12-17T00:00:00"/>
    <x v="147"/>
    <x v="0"/>
    <n v="73208.759999999995"/>
    <n v="43719.1"/>
    <n v="29004.04"/>
    <n v="1188"/>
    <n v="676"/>
    <s v="Híbrido"/>
    <n v="29489.659999999996"/>
    <s v=""/>
  </r>
  <r>
    <s v="PRJ-0236"/>
    <s v="Revisão de RH 920"/>
    <x v="80"/>
    <x v="6"/>
    <x v="1"/>
    <x v="168"/>
    <d v="2026-05-02T00:00:00"/>
    <x v="166"/>
    <x v="0"/>
    <n v="50000"/>
    <n v="36565.839999999997"/>
    <n v="41147.72"/>
    <n v="3245"/>
    <n v="1703"/>
    <s v="Cascata"/>
    <n v="13434.160000000003"/>
    <s v=""/>
  </r>
  <r>
    <s v="PRJ-0237"/>
    <s v="Automação de RH 124"/>
    <x v="22"/>
    <x v="7"/>
    <x v="2"/>
    <x v="169"/>
    <d v="2026-05-11T00:00:00"/>
    <x v="51"/>
    <x v="0"/>
    <n v="50000"/>
    <n v="24564.65"/>
    <n v="35056.959999999999"/>
    <n v="1063"/>
    <n v="377"/>
    <s v="Ágil"/>
    <n v="25435.35"/>
    <s v=""/>
  </r>
  <r>
    <s v="PRJ-0238"/>
    <s v="Automação de RH 435"/>
    <x v="146"/>
    <x v="2"/>
    <x v="1"/>
    <x v="76"/>
    <d v="2026-11-27T00:00:00"/>
    <x v="167"/>
    <x v="0"/>
    <n v="60766.7"/>
    <n v="31509.29"/>
    <n v="59918.52"/>
    <n v="301"/>
    <n v="155"/>
    <s v="Híbrido"/>
    <n v="29257.409999999996"/>
    <s v=""/>
  </r>
  <r>
    <s v="PRJ-0239"/>
    <s v="Automação de Relatórios 485"/>
    <x v="140"/>
    <x v="2"/>
    <x v="0"/>
    <x v="170"/>
    <d v="2026-12-31T00:00:00"/>
    <x v="168"/>
    <x v="0"/>
    <n v="50000"/>
    <n v="20141.16"/>
    <n v="78943.75"/>
    <n v="510"/>
    <n v="153"/>
    <s v="Cascata"/>
    <n v="29858.84"/>
    <s v=""/>
  </r>
  <r>
    <s v="PRJ-0240"/>
    <s v="Automação de Processos 221"/>
    <x v="147"/>
    <x v="3"/>
    <x v="1"/>
    <x v="171"/>
    <d v="2026-07-16T00:00:00"/>
    <x v="169"/>
    <x v="0"/>
    <n v="229173.18"/>
    <n v="181490.53"/>
    <n v="338452.33"/>
    <n v="1459"/>
    <n v="1330"/>
    <s v="Ágil"/>
    <n v="47682.649999999994"/>
    <s v=""/>
  </r>
  <r>
    <s v="PRJ-0241"/>
    <s v="Automação de Atendimento 364"/>
    <x v="148"/>
    <x v="0"/>
    <x v="0"/>
    <x v="123"/>
    <d v="2026-09-27T00:00:00"/>
    <x v="170"/>
    <x v="0"/>
    <n v="157797.26999999999"/>
    <n v="50622.84"/>
    <n v="340903.32"/>
    <n v="4716"/>
    <n v="1650"/>
    <s v="Híbrido"/>
    <n v="107174.43"/>
    <s v=""/>
  </r>
  <r>
    <s v="PRJ-0242"/>
    <s v="Automação de Supply 234"/>
    <x v="51"/>
    <x v="7"/>
    <x v="0"/>
    <x v="145"/>
    <d v="2026-07-12T00:00:00"/>
    <x v="171"/>
    <x v="0"/>
    <n v="176862.4"/>
    <n v="58394.06"/>
    <n v="304105.83"/>
    <n v="3394"/>
    <n v="1108"/>
    <s v="Cascata"/>
    <n v="118468.34"/>
    <s v=""/>
  </r>
  <r>
    <s v="PRJ-0243"/>
    <s v="Implantação de Plataforma 216"/>
    <x v="149"/>
    <x v="8"/>
    <x v="3"/>
    <x v="77"/>
    <d v="2026-11-11T00:00:00"/>
    <x v="112"/>
    <x v="41"/>
    <n v="85093.51"/>
    <n v="73277.5"/>
    <n v="127607.34"/>
    <n v="755"/>
    <n v="619"/>
    <s v="Ágil"/>
    <n v="11816.009999999995"/>
    <n v="20"/>
  </r>
  <r>
    <s v="PRJ-0244"/>
    <s v="Integração de Segurança 756"/>
    <x v="150"/>
    <x v="0"/>
    <x v="1"/>
    <x v="172"/>
    <d v="2026-10-27T00:00:00"/>
    <x v="172"/>
    <x v="0"/>
    <n v="99707.83"/>
    <n v="63889.1"/>
    <n v="143752.04999999999"/>
    <n v="2096"/>
    <n v="1709"/>
    <s v="Híbrido"/>
    <n v="35818.730000000003"/>
    <s v=""/>
  </r>
  <r>
    <s v="PRJ-0245"/>
    <s v="Padronização de Operações 446"/>
    <x v="136"/>
    <x v="5"/>
    <x v="3"/>
    <x v="130"/>
    <d v="2026-11-23T00:00:00"/>
    <x v="6"/>
    <x v="0"/>
    <n v="254177.27"/>
    <n v="0"/>
    <n v="219117.53"/>
    <n v="3908"/>
    <n v="0"/>
    <s v="Cascata"/>
    <n v="254177.27"/>
    <s v=""/>
  </r>
  <r>
    <s v="PRJ-0246"/>
    <s v="Padronização de Dados 009"/>
    <x v="46"/>
    <x v="8"/>
    <x v="3"/>
    <x v="173"/>
    <d v="2026-12-03T00:00:00"/>
    <x v="6"/>
    <x v="0"/>
    <n v="250703.35999999999"/>
    <n v="0"/>
    <n v="238466.22"/>
    <n v="3515"/>
    <n v="0"/>
    <s v="Ágil"/>
    <n v="250703.35999999999"/>
    <s v=""/>
  </r>
  <r>
    <s v="PRJ-0247"/>
    <s v="Integração de Atendimento 082"/>
    <x v="151"/>
    <x v="8"/>
    <x v="0"/>
    <x v="106"/>
    <d v="2026-08-24T00:00:00"/>
    <x v="151"/>
    <x v="0"/>
    <n v="50000"/>
    <n v="23944.45"/>
    <n v="95859.32"/>
    <n v="283"/>
    <n v="133"/>
    <s v="Híbrido"/>
    <n v="26055.55"/>
    <s v=""/>
  </r>
  <r>
    <s v="PRJ-0248"/>
    <s v="Integração de Supply 020"/>
    <x v="132"/>
    <x v="4"/>
    <x v="3"/>
    <x v="162"/>
    <d v="2026-06-12T00:00:00"/>
    <x v="173"/>
    <x v="42"/>
    <n v="307068.18"/>
    <n v="368312.13"/>
    <n v="672964.76"/>
    <n v="4814"/>
    <n v="4108"/>
    <s v="Cascata"/>
    <n v="-61243.950000000012"/>
    <n v="128"/>
  </r>
  <r>
    <s v="PRJ-0249"/>
    <s v="Padronização de Processos 339"/>
    <x v="152"/>
    <x v="4"/>
    <x v="1"/>
    <x v="144"/>
    <d v="2026-04-29T00:00:00"/>
    <x v="153"/>
    <x v="0"/>
    <n v="394604.56"/>
    <n v="280979.78999999998"/>
    <n v="772806.55"/>
    <n v="7484"/>
    <n v="4142"/>
    <s v="Ágil"/>
    <n v="113624.77000000002"/>
    <s v=""/>
  </r>
  <r>
    <s v="PRJ-0250"/>
    <s v="Padronização de Plataforma 534"/>
    <x v="149"/>
    <x v="9"/>
    <x v="0"/>
    <x v="42"/>
    <d v="2026-08-23T00:00:00"/>
    <x v="44"/>
    <x v="0"/>
    <n v="242192.05"/>
    <n v="64259.33"/>
    <n v="121197.39"/>
    <n v="1651"/>
    <n v="457"/>
    <s v="Híbrido"/>
    <n v="177932.71999999997"/>
    <s v=""/>
  </r>
  <r>
    <s v="PRJ-0251"/>
    <s v="Integração de Financeiro 333"/>
    <x v="110"/>
    <x v="3"/>
    <x v="2"/>
    <x v="136"/>
    <d v="2026-12-07T00:00:00"/>
    <x v="79"/>
    <x v="0"/>
    <n v="130100.21"/>
    <n v="58933.49"/>
    <n v="154265.68"/>
    <n v="1707"/>
    <n v="775"/>
    <s v="Cascata"/>
    <n v="71166.720000000001"/>
    <s v=""/>
  </r>
  <r>
    <s v="PRJ-0252"/>
    <s v="Revisão de Relatórios 719"/>
    <x v="138"/>
    <x v="8"/>
    <x v="3"/>
    <x v="130"/>
    <d v="2026-11-06T00:00:00"/>
    <x v="64"/>
    <x v="43"/>
    <n v="363223.94"/>
    <n v="226052.72"/>
    <n v="422410.9"/>
    <n v="1428"/>
    <n v="733"/>
    <s v="Ágil"/>
    <n v="137171.22"/>
    <n v="8"/>
  </r>
  <r>
    <s v="PRJ-0253"/>
    <s v="Padronização de Dados 302"/>
    <x v="153"/>
    <x v="5"/>
    <x v="1"/>
    <x v="2"/>
    <d v="2026-06-16T00:00:00"/>
    <x v="171"/>
    <x v="0"/>
    <n v="100464.03"/>
    <n v="21235.38"/>
    <n v="97850.38"/>
    <n v="3929"/>
    <n v="616"/>
    <s v="Híbrido"/>
    <n v="79228.649999999994"/>
    <s v=""/>
  </r>
  <r>
    <s v="PRJ-0254"/>
    <s v="Expansão de Relatórios 905"/>
    <x v="154"/>
    <x v="6"/>
    <x v="3"/>
    <x v="174"/>
    <d v="2026-06-21T00:00:00"/>
    <x v="174"/>
    <x v="0"/>
    <n v="50000"/>
    <n v="28904.15"/>
    <n v="53138.87"/>
    <n v="1391"/>
    <n v="607"/>
    <s v="Cascata"/>
    <n v="21095.85"/>
    <s v=""/>
  </r>
  <r>
    <s v="PRJ-0255"/>
    <s v="Modernização de Processos 856"/>
    <x v="155"/>
    <x v="2"/>
    <x v="3"/>
    <x v="172"/>
    <d v="2026-12-31T00:00:00"/>
    <x v="33"/>
    <x v="44"/>
    <n v="239119.89"/>
    <n v="86675.68"/>
    <n v="107755.2"/>
    <n v="2469"/>
    <n v="699"/>
    <s v="Ágil"/>
    <n v="152444.21000000002"/>
    <n v="73"/>
  </r>
  <r>
    <s v="PRJ-0256"/>
    <s v="Integração de RH 951"/>
    <x v="156"/>
    <x v="9"/>
    <x v="1"/>
    <x v="175"/>
    <d v="2026-12-31T00:00:00"/>
    <x v="6"/>
    <x v="0"/>
    <n v="258327.18"/>
    <n v="0"/>
    <n v="311540.99"/>
    <n v="950"/>
    <n v="0"/>
    <s v="Híbrido"/>
    <n v="258327.18"/>
    <s v=""/>
  </r>
  <r>
    <s v="PRJ-0257"/>
    <s v="Modernização de Segurança 545"/>
    <x v="10"/>
    <x v="9"/>
    <x v="3"/>
    <x v="176"/>
    <d v="2026-02-13T00:00:00"/>
    <x v="175"/>
    <x v="0"/>
    <n v="297547.77"/>
    <n v="241591.13"/>
    <n v="644723.66"/>
    <n v="372"/>
    <n v="234"/>
    <s v="Cascata"/>
    <n v="55956.640000000014"/>
    <s v=""/>
  </r>
  <r>
    <s v="PRJ-0258"/>
    <s v="Automação de Dados 412"/>
    <x v="82"/>
    <x v="6"/>
    <x v="3"/>
    <x v="177"/>
    <d v="2026-04-02T00:00:00"/>
    <x v="74"/>
    <x v="0"/>
    <n v="81840.87"/>
    <n v="26826.34"/>
    <n v="32072.55"/>
    <n v="1108"/>
    <n v="459"/>
    <s v="Ágil"/>
    <n v="55014.53"/>
    <s v=""/>
  </r>
  <r>
    <s v="PRJ-0259"/>
    <s v="Implantação de Supply 985"/>
    <x v="67"/>
    <x v="5"/>
    <x v="2"/>
    <x v="173"/>
    <d v="2026-11-30T00:00:00"/>
    <x v="64"/>
    <x v="0"/>
    <n v="156216.09"/>
    <n v="121321.01"/>
    <n v="64550.91"/>
    <n v="1118"/>
    <n v="709"/>
    <s v="Híbrido"/>
    <n v="34895.08"/>
    <s v=""/>
  </r>
  <r>
    <s v="PRJ-0260"/>
    <s v="Automação de Plataforma 039"/>
    <x v="129"/>
    <x v="3"/>
    <x v="0"/>
    <x v="178"/>
    <d v="2026-08-10T00:00:00"/>
    <x v="176"/>
    <x v="0"/>
    <n v="124114"/>
    <n v="59565.55"/>
    <n v="235118.9"/>
    <n v="2523"/>
    <n v="951"/>
    <s v="Cascata"/>
    <n v="64548.45"/>
    <s v=""/>
  </r>
  <r>
    <s v="PRJ-0261"/>
    <s v="Modernização de Operações 658"/>
    <x v="53"/>
    <x v="5"/>
    <x v="3"/>
    <x v="179"/>
    <d v="2026-06-07T00:00:00"/>
    <x v="177"/>
    <x v="0"/>
    <n v="71007.539999999994"/>
    <n v="18317.22"/>
    <n v="61319.54"/>
    <n v="2493"/>
    <n v="494"/>
    <s v="Ágil"/>
    <n v="52690.319999999992"/>
    <s v=""/>
  </r>
  <r>
    <s v="PRJ-0262"/>
    <s v="Implantação de Dados 043"/>
    <x v="101"/>
    <x v="1"/>
    <x v="1"/>
    <x v="180"/>
    <d v="2026-09-08T00:00:00"/>
    <x v="178"/>
    <x v="0"/>
    <n v="248419.04"/>
    <n v="10669.81"/>
    <n v="85856"/>
    <n v="475"/>
    <n v="20"/>
    <s v="Híbrido"/>
    <n v="237749.23"/>
    <s v=""/>
  </r>
  <r>
    <s v="PRJ-0263"/>
    <s v="Revisão de Plataforma 488"/>
    <x v="86"/>
    <x v="1"/>
    <x v="3"/>
    <x v="119"/>
    <d v="2026-08-09T00:00:00"/>
    <x v="179"/>
    <x v="0"/>
    <n v="148627.68"/>
    <n v="63377.03"/>
    <n v="65128.11"/>
    <n v="422"/>
    <n v="166"/>
    <s v="Cascata"/>
    <n v="85250.65"/>
    <s v=""/>
  </r>
  <r>
    <s v="PRJ-0264"/>
    <s v="Integração de Segurança 074"/>
    <x v="150"/>
    <x v="4"/>
    <x v="3"/>
    <x v="181"/>
    <d v="2026-05-26T00:00:00"/>
    <x v="180"/>
    <x v="0"/>
    <n v="147294.96"/>
    <n v="76792.06"/>
    <n v="161732.95000000001"/>
    <n v="3100"/>
    <n v="1656"/>
    <s v="Ágil"/>
    <n v="70502.899999999994"/>
    <s v=""/>
  </r>
  <r>
    <s v="PRJ-0265"/>
    <s v="Automação de RH 046"/>
    <x v="157"/>
    <x v="2"/>
    <x v="1"/>
    <x v="123"/>
    <d v="2026-07-10T00:00:00"/>
    <x v="169"/>
    <x v="0"/>
    <n v="61980.46"/>
    <n v="65811.05"/>
    <n v="67864.89"/>
    <n v="408"/>
    <n v="398"/>
    <s v="Híbrido"/>
    <n v="-3830.5900000000038"/>
    <s v=""/>
  </r>
  <r>
    <s v="PRJ-0266"/>
    <s v="Revisão de Segurança 758"/>
    <x v="158"/>
    <x v="2"/>
    <x v="0"/>
    <x v="83"/>
    <d v="2026-12-15T00:00:00"/>
    <x v="165"/>
    <x v="0"/>
    <n v="94918.75"/>
    <n v="37503.24"/>
    <n v="75575.13"/>
    <n v="539"/>
    <n v="166"/>
    <s v="Cascata"/>
    <n v="57415.51"/>
    <s v=""/>
  </r>
  <r>
    <s v="PRJ-0267"/>
    <s v="Otimização de Plataforma 398"/>
    <x v="77"/>
    <x v="6"/>
    <x v="3"/>
    <x v="182"/>
    <d v="2026-12-31T00:00:00"/>
    <x v="181"/>
    <x v="3"/>
    <n v="108623.77"/>
    <n v="0"/>
    <n v="135003.54"/>
    <n v="466"/>
    <n v="0"/>
    <s v="Ágil"/>
    <n v="108623.77"/>
    <n v="1"/>
  </r>
  <r>
    <s v="PRJ-0268"/>
    <s v="Otimização de Processos 254"/>
    <x v="159"/>
    <x v="0"/>
    <x v="3"/>
    <x v="11"/>
    <d v="2026-05-14T00:00:00"/>
    <x v="110"/>
    <x v="0"/>
    <n v="256702.67"/>
    <n v="13586.64"/>
    <n v="172750.42"/>
    <n v="2800"/>
    <n v="122"/>
    <s v="Híbrido"/>
    <n v="243116.03000000003"/>
    <s v=""/>
  </r>
  <r>
    <s v="PRJ-0269"/>
    <s v="Implantação de Segurança 156"/>
    <x v="150"/>
    <x v="2"/>
    <x v="3"/>
    <x v="112"/>
    <d v="2026-12-31T00:00:00"/>
    <x v="82"/>
    <x v="0"/>
    <n v="50000"/>
    <n v="18224.91"/>
    <n v="55517.48"/>
    <n v="415"/>
    <n v="129"/>
    <s v="Cascata"/>
    <n v="31775.09"/>
    <s v=""/>
  </r>
  <r>
    <s v="PRJ-0270"/>
    <s v="Automação de Segurança 669"/>
    <x v="160"/>
    <x v="5"/>
    <x v="0"/>
    <x v="183"/>
    <d v="2026-08-23T00:00:00"/>
    <x v="77"/>
    <x v="0"/>
    <n v="160058.82999999999"/>
    <n v="158572.20000000001"/>
    <n v="94785.08"/>
    <n v="2314"/>
    <n v="1665"/>
    <s v="Ágil"/>
    <n v="1486.6299999999756"/>
    <s v=""/>
  </r>
  <r>
    <s v="PRJ-0271"/>
    <s v="Revisão de Relatórios 745"/>
    <x v="161"/>
    <x v="4"/>
    <x v="0"/>
    <x v="53"/>
    <d v="2026-12-31T00:00:00"/>
    <x v="182"/>
    <x v="0"/>
    <n v="52432.43"/>
    <n v="45380.36"/>
    <n v="56642.6"/>
    <n v="3375"/>
    <n v="2607"/>
    <s v="Híbrido"/>
    <n v="7052.07"/>
    <s v=""/>
  </r>
  <r>
    <s v="PRJ-0272"/>
    <s v="Integração de Operações 238"/>
    <x v="162"/>
    <x v="3"/>
    <x v="3"/>
    <x v="184"/>
    <d v="2026-08-04T00:00:00"/>
    <x v="183"/>
    <x v="4"/>
    <n v="50000"/>
    <n v="55404.37"/>
    <n v="85795.4"/>
    <n v="1960"/>
    <n v="1858"/>
    <s v="Cascata"/>
    <n v="-5404.3700000000026"/>
    <n v="68"/>
  </r>
  <r>
    <s v="PRJ-0273"/>
    <s v="Otimização de Atendimento 974"/>
    <x v="151"/>
    <x v="2"/>
    <x v="0"/>
    <x v="28"/>
    <d v="2026-12-31T00:00:00"/>
    <x v="23"/>
    <x v="0"/>
    <n v="132726.9"/>
    <n v="67071.13"/>
    <n v="125368.16"/>
    <n v="631"/>
    <n v="298"/>
    <s v="Ágil"/>
    <n v="65655.76999999999"/>
    <s v=""/>
  </r>
  <r>
    <s v="PRJ-0274"/>
    <s v="Otimização de Dados 112"/>
    <x v="46"/>
    <x v="6"/>
    <x v="1"/>
    <x v="126"/>
    <d v="2026-12-31T00:00:00"/>
    <x v="124"/>
    <x v="3"/>
    <n v="140901.88"/>
    <n v="65750.97"/>
    <n v="224995.91"/>
    <n v="192"/>
    <n v="82"/>
    <s v="Híbrido"/>
    <n v="75150.91"/>
    <n v="13"/>
  </r>
  <r>
    <s v="PRJ-0275"/>
    <s v="Automação de Financeiro 302"/>
    <x v="163"/>
    <x v="9"/>
    <x v="3"/>
    <x v="185"/>
    <d v="2026-12-07T00:00:00"/>
    <x v="128"/>
    <x v="0"/>
    <n v="258445.03"/>
    <n v="152323.89000000001"/>
    <n v="499099.29"/>
    <n v="1556"/>
    <n v="688"/>
    <s v="Cascata"/>
    <n v="106121.13999999998"/>
    <s v=""/>
  </r>
  <r>
    <s v="PRJ-0276"/>
    <s v="Integração de RH 093"/>
    <x v="164"/>
    <x v="4"/>
    <x v="3"/>
    <x v="186"/>
    <d v="2026-07-15T00:00:00"/>
    <x v="6"/>
    <x v="0"/>
    <n v="104668.93"/>
    <n v="0"/>
    <n v="200261.62"/>
    <n v="1440"/>
    <n v="0"/>
    <s v="Ágil"/>
    <n v="104668.93"/>
    <s v=""/>
  </r>
  <r>
    <s v="PRJ-0277"/>
    <s v="Automação de Relatórios 890"/>
    <x v="165"/>
    <x v="5"/>
    <x v="1"/>
    <x v="46"/>
    <d v="2026-10-06T00:00:00"/>
    <x v="182"/>
    <x v="0"/>
    <n v="273843.65000000002"/>
    <n v="210362.94"/>
    <n v="136993.74"/>
    <n v="2522"/>
    <n v="1489"/>
    <s v="Híbrido"/>
    <n v="63480.710000000021"/>
    <s v=""/>
  </r>
  <r>
    <s v="PRJ-0278"/>
    <s v="Otimização de Operações 904"/>
    <x v="120"/>
    <x v="9"/>
    <x v="3"/>
    <x v="186"/>
    <d v="2026-06-23T00:00:00"/>
    <x v="138"/>
    <x v="45"/>
    <n v="77468.83"/>
    <n v="9927.08"/>
    <n v="103350.31"/>
    <n v="619"/>
    <n v="107"/>
    <s v="Cascata"/>
    <n v="67541.75"/>
    <n v="14"/>
  </r>
  <r>
    <s v="PRJ-0279"/>
    <s v="Automação de Processos 684"/>
    <x v="166"/>
    <x v="6"/>
    <x v="3"/>
    <x v="187"/>
    <d v="2026-12-31T00:00:00"/>
    <x v="184"/>
    <x v="0"/>
    <n v="90665.34"/>
    <n v="56624.56"/>
    <n v="98714.31"/>
    <n v="549"/>
    <n v="338"/>
    <s v="Ágil"/>
    <n v="34040.78"/>
    <s v=""/>
  </r>
  <r>
    <s v="PRJ-0280"/>
    <s v="Implantação de Supply 378"/>
    <x v="167"/>
    <x v="8"/>
    <x v="2"/>
    <x v="188"/>
    <d v="2026-12-25T00:00:00"/>
    <x v="185"/>
    <x v="0"/>
    <n v="89532.26"/>
    <n v="65459.27"/>
    <n v="61603.57"/>
    <n v="360"/>
    <n v="220"/>
    <s v="Híbrido"/>
    <n v="24072.989999999998"/>
    <s v=""/>
  </r>
  <r>
    <s v="PRJ-0281"/>
    <s v="Padronização de Operações 957"/>
    <x v="168"/>
    <x v="3"/>
    <x v="3"/>
    <x v="70"/>
    <d v="2026-12-22T00:00:00"/>
    <x v="186"/>
    <x v="0"/>
    <n v="85374.05"/>
    <n v="36026.39"/>
    <n v="86412.83"/>
    <n v="1818"/>
    <n v="711"/>
    <s v="Cascata"/>
    <n v="49347.66"/>
    <s v=""/>
  </r>
  <r>
    <s v="PRJ-0282"/>
    <s v="Otimização de Plataforma 025"/>
    <x v="169"/>
    <x v="1"/>
    <x v="3"/>
    <x v="82"/>
    <d v="2026-12-31T00:00:00"/>
    <x v="187"/>
    <x v="0"/>
    <n v="96971.93"/>
    <n v="65760.58"/>
    <n v="168118.47"/>
    <n v="2108"/>
    <n v="1317"/>
    <s v="Ágil"/>
    <n v="31211.349999999991"/>
    <s v=""/>
  </r>
  <r>
    <s v="PRJ-0283"/>
    <s v="Revisão de Processos 117"/>
    <x v="35"/>
    <x v="6"/>
    <x v="3"/>
    <x v="189"/>
    <d v="2026-04-14T00:00:00"/>
    <x v="188"/>
    <x v="0"/>
    <n v="66299.88"/>
    <n v="42278.07"/>
    <n v="50269.49"/>
    <n v="1935"/>
    <n v="1714"/>
    <s v="Híbrido"/>
    <n v="24021.810000000005"/>
    <s v=""/>
  </r>
  <r>
    <s v="PRJ-0284"/>
    <s v="Padronização de Financeiro 951"/>
    <x v="33"/>
    <x v="3"/>
    <x v="0"/>
    <x v="71"/>
    <d v="2026-11-08T00:00:00"/>
    <x v="189"/>
    <x v="46"/>
    <n v="50000"/>
    <n v="45785.74"/>
    <n v="89400.34"/>
    <n v="1711"/>
    <n v="1422"/>
    <s v="Cascata"/>
    <n v="4214.260000000002"/>
    <n v="55"/>
  </r>
  <r>
    <s v="PRJ-0285"/>
    <s v="Expansão de Relatórios 610"/>
    <x v="161"/>
    <x v="8"/>
    <x v="3"/>
    <x v="190"/>
    <d v="2026-04-11T00:00:00"/>
    <x v="190"/>
    <x v="0"/>
    <n v="104287.8"/>
    <n v="113599.37"/>
    <n v="193692.4"/>
    <n v="554"/>
    <n v="426"/>
    <s v="Ágil"/>
    <n v="-9311.5699999999924"/>
    <s v=""/>
  </r>
  <r>
    <s v="PRJ-0286"/>
    <s v="Otimização de RH 927"/>
    <x v="98"/>
    <x v="2"/>
    <x v="3"/>
    <x v="178"/>
    <d v="2026-07-17T00:00:00"/>
    <x v="191"/>
    <x v="47"/>
    <n v="50000"/>
    <n v="58428.81"/>
    <n v="85249.58"/>
    <n v="225"/>
    <n v="205"/>
    <s v="Híbrido"/>
    <n v="-8428.8099999999977"/>
    <n v="50"/>
  </r>
  <r>
    <s v="PRJ-0287"/>
    <s v="Otimização de Atendimento 955"/>
    <x v="32"/>
    <x v="6"/>
    <x v="2"/>
    <x v="11"/>
    <d v="2026-04-22T00:00:00"/>
    <x v="177"/>
    <x v="0"/>
    <n v="50000"/>
    <n v="24582.240000000002"/>
    <n v="87534.01"/>
    <n v="1321"/>
    <n v="493"/>
    <s v="Cascata"/>
    <n v="25417.759999999998"/>
    <s v=""/>
  </r>
  <r>
    <s v="PRJ-0288"/>
    <s v="Implantação de Dados 327"/>
    <x v="114"/>
    <x v="0"/>
    <x v="3"/>
    <x v="29"/>
    <d v="2026-09-28T00:00:00"/>
    <x v="62"/>
    <x v="0"/>
    <n v="71822.55"/>
    <n v="19546.27"/>
    <n v="73692.42"/>
    <n v="6112"/>
    <n v="1444"/>
    <s v="Ágil"/>
    <n v="52276.28"/>
    <s v=""/>
  </r>
  <r>
    <s v="PRJ-0289"/>
    <s v="Automação de Plataforma 319"/>
    <x v="5"/>
    <x v="8"/>
    <x v="1"/>
    <x v="191"/>
    <d v="2026-04-20T00:00:00"/>
    <x v="89"/>
    <x v="48"/>
    <n v="87898.559999999998"/>
    <n v="81048.05"/>
    <n v="44717.51"/>
    <n v="1520"/>
    <n v="1587"/>
    <s v="Híbrido"/>
    <n v="6850.5099999999948"/>
    <n v="92"/>
  </r>
  <r>
    <s v="PRJ-0290"/>
    <s v="Revisão de Atendimento 341"/>
    <x v="170"/>
    <x v="4"/>
    <x v="1"/>
    <x v="46"/>
    <d v="2026-09-07T00:00:00"/>
    <x v="1"/>
    <x v="49"/>
    <n v="79919.070000000007"/>
    <n v="97048.16"/>
    <n v="24893.94"/>
    <n v="3278"/>
    <n v="3349"/>
    <s v="Cascata"/>
    <n v="-17129.089999999997"/>
    <n v="49"/>
  </r>
  <r>
    <s v="PRJ-0291"/>
    <s v="Revisão de Financeiro 188"/>
    <x v="171"/>
    <x v="0"/>
    <x v="3"/>
    <x v="192"/>
    <d v="2026-03-17T00:00:00"/>
    <x v="104"/>
    <x v="50"/>
    <n v="50000"/>
    <n v="57696.47"/>
    <n v="47188.23"/>
    <n v="165"/>
    <n v="181"/>
    <s v="Ágil"/>
    <n v="-7696.4700000000012"/>
    <n v="15"/>
  </r>
  <r>
    <s v="PRJ-0292"/>
    <s v="Modernização de Atendimento 546"/>
    <x v="172"/>
    <x v="7"/>
    <x v="1"/>
    <x v="33"/>
    <d v="2026-08-02T00:00:00"/>
    <x v="192"/>
    <x v="0"/>
    <n v="91000.84"/>
    <n v="57996.97"/>
    <n v="88101.08"/>
    <n v="1486"/>
    <n v="1030"/>
    <s v="Híbrido"/>
    <n v="33003.869999999995"/>
    <s v=""/>
  </r>
  <r>
    <s v="PRJ-0293"/>
    <s v="Integração de Relatórios 679"/>
    <x v="154"/>
    <x v="1"/>
    <x v="1"/>
    <x v="190"/>
    <d v="2026-04-24T00:00:00"/>
    <x v="193"/>
    <x v="0"/>
    <n v="162302.54999999999"/>
    <n v="142685.32"/>
    <n v="64499.13"/>
    <n v="734"/>
    <n v="597"/>
    <s v="Cascata"/>
    <n v="19617.229999999981"/>
    <s v=""/>
  </r>
  <r>
    <s v="PRJ-0294"/>
    <s v="Padronização de Processos 093"/>
    <x v="155"/>
    <x v="7"/>
    <x v="3"/>
    <x v="120"/>
    <d v="2026-07-02T00:00:00"/>
    <x v="191"/>
    <x v="0"/>
    <n v="50213.88"/>
    <n v="39281.33"/>
    <n v="107348"/>
    <n v="546"/>
    <n v="328"/>
    <s v="Ágil"/>
    <n v="10932.549999999996"/>
    <s v=""/>
  </r>
  <r>
    <s v="PRJ-0295"/>
    <s v="Revisão de Plataforma 597"/>
    <x v="173"/>
    <x v="1"/>
    <x v="0"/>
    <x v="193"/>
    <d v="2026-12-31T00:00:00"/>
    <x v="102"/>
    <x v="0"/>
    <n v="260922.53"/>
    <n v="140282.94"/>
    <n v="375853.08"/>
    <n v="2035"/>
    <n v="1018"/>
    <s v="Híbrido"/>
    <n v="120639.59"/>
    <s v=""/>
  </r>
  <r>
    <s v="PRJ-0296"/>
    <s v="Revisão de Financeiro 416"/>
    <x v="83"/>
    <x v="4"/>
    <x v="0"/>
    <x v="194"/>
    <d v="2026-04-21T00:00:00"/>
    <x v="6"/>
    <x v="0"/>
    <n v="63596.67"/>
    <n v="0"/>
    <n v="66643.429999999993"/>
    <n v="2680"/>
    <n v="0"/>
    <s v="Cascata"/>
    <n v="63596.67"/>
    <s v=""/>
  </r>
  <r>
    <s v="PRJ-0297"/>
    <s v="Expansão de Relatórios 087"/>
    <x v="115"/>
    <x v="4"/>
    <x v="0"/>
    <x v="180"/>
    <d v="2026-09-03T00:00:00"/>
    <x v="105"/>
    <x v="0"/>
    <n v="429544.48"/>
    <n v="294049.05"/>
    <n v="301676.45"/>
    <n v="1043"/>
    <n v="758"/>
    <s v="Ágil"/>
    <n v="135495.43"/>
    <s v=""/>
  </r>
  <r>
    <s v="PRJ-0298"/>
    <s v="Expansão de Dados 591"/>
    <x v="124"/>
    <x v="7"/>
    <x v="3"/>
    <x v="195"/>
    <d v="2026-07-16T00:00:00"/>
    <x v="170"/>
    <x v="0"/>
    <n v="56170.23"/>
    <n v="26868.74"/>
    <n v="80947.37"/>
    <n v="449"/>
    <n v="177"/>
    <s v="Híbrido"/>
    <n v="29301.49"/>
    <s v=""/>
  </r>
  <r>
    <s v="PRJ-0299"/>
    <s v="Integração de RH 646"/>
    <x v="174"/>
    <x v="9"/>
    <x v="0"/>
    <x v="196"/>
    <d v="2026-07-06T00:00:00"/>
    <x v="39"/>
    <x v="0"/>
    <n v="730376.93"/>
    <n v="333365.15999999997"/>
    <n v="939771.7"/>
    <n v="2173"/>
    <n v="851"/>
    <s v="Cascata"/>
    <n v="397011.77000000008"/>
    <s v=""/>
  </r>
  <r>
    <s v="PRJ-0300"/>
    <s v="Otimização de Operações 768"/>
    <x v="78"/>
    <x v="1"/>
    <x v="3"/>
    <x v="39"/>
    <d v="2026-09-04T00:00:00"/>
    <x v="189"/>
    <x v="0"/>
    <n v="100988.92"/>
    <n v="5780.87"/>
    <n v="121394.85"/>
    <n v="443"/>
    <n v="18"/>
    <s v="Ágil"/>
    <n v="95208.05"/>
    <s v=""/>
  </r>
  <r>
    <s v="PRJ-0301"/>
    <s v="Automação de Operações 288"/>
    <x v="175"/>
    <x v="8"/>
    <x v="3"/>
    <x v="197"/>
    <d v="2026-12-31T00:00:00"/>
    <x v="165"/>
    <x v="0"/>
    <n v="158586.23999999999"/>
    <n v="24820.31"/>
    <n v="70143.03"/>
    <n v="939"/>
    <n v="116"/>
    <s v="Híbrido"/>
    <n v="133765.93"/>
    <s v=""/>
  </r>
  <r>
    <s v="PRJ-0302"/>
    <s v="Automação de Operações 957"/>
    <x v="27"/>
    <x v="9"/>
    <x v="3"/>
    <x v="198"/>
    <d v="2026-09-19T00:00:00"/>
    <x v="121"/>
    <x v="0"/>
    <n v="172290"/>
    <n v="43735.48"/>
    <n v="240769.22"/>
    <n v="2074"/>
    <n v="861"/>
    <s v="Cascata"/>
    <n v="128554.51999999999"/>
    <s v=""/>
  </r>
  <r>
    <s v="PRJ-0303"/>
    <s v="Integração de Financeiro 700"/>
    <x v="83"/>
    <x v="3"/>
    <x v="1"/>
    <x v="123"/>
    <d v="2026-11-03T00:00:00"/>
    <x v="121"/>
    <x v="0"/>
    <n v="50000"/>
    <n v="39742"/>
    <n v="86988.77"/>
    <n v="3941"/>
    <n v="3091"/>
    <s v="Ágil"/>
    <n v="10258"/>
    <s v=""/>
  </r>
  <r>
    <s v="PRJ-0304"/>
    <s v="Implantação de Supply 277"/>
    <x v="47"/>
    <x v="8"/>
    <x v="3"/>
    <x v="199"/>
    <d v="2026-12-31T00:00:00"/>
    <x v="56"/>
    <x v="0"/>
    <n v="246670.25"/>
    <n v="153670.42000000001"/>
    <n v="81513.05"/>
    <n v="575"/>
    <n v="289"/>
    <s v="Híbrido"/>
    <n v="92999.829999999987"/>
    <s v=""/>
  </r>
  <r>
    <s v="PRJ-0305"/>
    <s v="Modernização de Dados 107"/>
    <x v="69"/>
    <x v="8"/>
    <x v="3"/>
    <x v="140"/>
    <d v="2026-08-14T00:00:00"/>
    <x v="194"/>
    <x v="0"/>
    <n v="81665.789999999994"/>
    <n v="71578.740000000005"/>
    <n v="121245.94"/>
    <n v="4565"/>
    <n v="3319"/>
    <s v="Cascata"/>
    <n v="10087.049999999988"/>
    <s v=""/>
  </r>
  <r>
    <s v="PRJ-0306"/>
    <s v="Expansão de Operações 823"/>
    <x v="162"/>
    <x v="6"/>
    <x v="3"/>
    <x v="175"/>
    <d v="2026-12-31T00:00:00"/>
    <x v="108"/>
    <x v="0"/>
    <n v="87910.66"/>
    <n v="27958.06"/>
    <n v="80853.5"/>
    <n v="529"/>
    <n v="157"/>
    <s v="Ágil"/>
    <n v="59952.600000000006"/>
    <s v=""/>
  </r>
  <r>
    <s v="PRJ-0307"/>
    <s v="Expansão de Supply 062"/>
    <x v="51"/>
    <x v="5"/>
    <x v="3"/>
    <x v="200"/>
    <d v="2026-12-05T00:00:00"/>
    <x v="6"/>
    <x v="0"/>
    <n v="82499.28"/>
    <n v="0"/>
    <n v="38340.92"/>
    <n v="4457"/>
    <n v="0"/>
    <s v="Híbrido"/>
    <n v="82499.28"/>
    <s v=""/>
  </r>
  <r>
    <s v="PRJ-0308"/>
    <s v="Implantação de Plataforma 036"/>
    <x v="118"/>
    <x v="5"/>
    <x v="1"/>
    <x v="60"/>
    <d v="2026-12-31T00:00:00"/>
    <x v="195"/>
    <x v="0"/>
    <n v="117859.3"/>
    <n v="60236.93"/>
    <n v="206737.11"/>
    <n v="580"/>
    <n v="360"/>
    <s v="Cascata"/>
    <n v="57622.37"/>
    <s v=""/>
  </r>
  <r>
    <s v="PRJ-0309"/>
    <s v="Padronização de RH 447"/>
    <x v="11"/>
    <x v="1"/>
    <x v="0"/>
    <x v="194"/>
    <d v="2026-05-03T00:00:00"/>
    <x v="83"/>
    <x v="0"/>
    <n v="119910.24"/>
    <n v="67383.960000000006"/>
    <n v="234078.46"/>
    <n v="2938"/>
    <n v="1297"/>
    <s v="Ágil"/>
    <n v="52526.28"/>
    <s v=""/>
  </r>
  <r>
    <s v="PRJ-0310"/>
    <s v="Revisão de Plataforma 862"/>
    <x v="129"/>
    <x v="4"/>
    <x v="1"/>
    <x v="201"/>
    <d v="2026-11-17T00:00:00"/>
    <x v="196"/>
    <x v="51"/>
    <n v="50000"/>
    <n v="43647.839999999997"/>
    <n v="70414.19"/>
    <n v="1445"/>
    <n v="1160"/>
    <s v="Híbrido"/>
    <n v="6352.1600000000035"/>
    <n v="18"/>
  </r>
  <r>
    <s v="PRJ-0311"/>
    <s v="Otimização de Segurança 026"/>
    <x v="158"/>
    <x v="6"/>
    <x v="3"/>
    <x v="202"/>
    <d v="2026-11-08T00:00:00"/>
    <x v="101"/>
    <x v="0"/>
    <n v="72359.759999999995"/>
    <n v="51210.400000000001"/>
    <n v="90717.16"/>
    <n v="3600"/>
    <n v="1710"/>
    <s v="Cascata"/>
    <n v="21149.359999999993"/>
    <s v=""/>
  </r>
  <r>
    <s v="PRJ-0312"/>
    <s v="Padronização de Dados 153"/>
    <x v="48"/>
    <x v="7"/>
    <x v="1"/>
    <x v="203"/>
    <d v="2026-03-22T00:00:00"/>
    <x v="94"/>
    <x v="0"/>
    <n v="54309.88"/>
    <n v="31478.74"/>
    <n v="37342.92"/>
    <n v="1943"/>
    <n v="1094"/>
    <s v="Ágil"/>
    <n v="22831.139999999996"/>
    <s v=""/>
  </r>
  <r>
    <s v="PRJ-0313"/>
    <s v="Automação de Operações 066"/>
    <x v="74"/>
    <x v="0"/>
    <x v="0"/>
    <x v="204"/>
    <d v="2026-07-03T00:00:00"/>
    <x v="6"/>
    <x v="0"/>
    <n v="186289.05"/>
    <n v="0"/>
    <n v="101571.38"/>
    <n v="1255"/>
    <n v="0"/>
    <s v="Híbrido"/>
    <n v="186289.05"/>
    <s v=""/>
  </r>
  <r>
    <s v="PRJ-0314"/>
    <s v="Automação de Supply 065"/>
    <x v="58"/>
    <x v="7"/>
    <x v="1"/>
    <x v="205"/>
    <d v="2026-08-22T00:00:00"/>
    <x v="197"/>
    <x v="0"/>
    <n v="215462.61"/>
    <n v="127039.26"/>
    <n v="85179.520000000004"/>
    <n v="484"/>
    <n v="244"/>
    <s v="Cascata"/>
    <n v="88423.349999999991"/>
    <s v=""/>
  </r>
  <r>
    <s v="PRJ-0315"/>
    <s v="Otimização de Relatórios 949"/>
    <x v="154"/>
    <x v="5"/>
    <x v="1"/>
    <x v="206"/>
    <d v="2026-03-31T00:00:00"/>
    <x v="173"/>
    <x v="0"/>
    <n v="814358.45"/>
    <n v="98278.42"/>
    <n v="1627473.9199999999"/>
    <n v="924"/>
    <n v="101"/>
    <s v="Ágil"/>
    <n v="716080.02999999991"/>
    <s v=""/>
  </r>
  <r>
    <s v="PRJ-0316"/>
    <s v="Automação de RH 627"/>
    <x v="176"/>
    <x v="8"/>
    <x v="0"/>
    <x v="56"/>
    <d v="2026-06-01T00:00:00"/>
    <x v="198"/>
    <x v="0"/>
    <n v="50000"/>
    <n v="31942.82"/>
    <n v="23261.87"/>
    <n v="1785"/>
    <n v="1080"/>
    <s v="Híbrido"/>
    <n v="18057.18"/>
    <s v=""/>
  </r>
  <r>
    <s v="PRJ-0317"/>
    <s v="Integração de Plataforma 816"/>
    <x v="149"/>
    <x v="2"/>
    <x v="1"/>
    <x v="207"/>
    <d v="2026-12-31T00:00:00"/>
    <x v="199"/>
    <x v="0"/>
    <n v="50000"/>
    <n v="33494.879999999997"/>
    <n v="31070.38"/>
    <n v="1553"/>
    <n v="1170"/>
    <s v="Cascata"/>
    <n v="16505.120000000003"/>
    <s v=""/>
  </r>
  <r>
    <s v="PRJ-0318"/>
    <s v="Otimização de RH 528"/>
    <x v="30"/>
    <x v="7"/>
    <x v="1"/>
    <x v="161"/>
    <d v="2026-05-08T00:00:00"/>
    <x v="6"/>
    <x v="0"/>
    <n v="291985.19"/>
    <n v="0"/>
    <n v="182163.36"/>
    <n v="1172"/>
    <n v="0"/>
    <s v="Ágil"/>
    <n v="291985.19"/>
    <s v=""/>
  </r>
  <r>
    <s v="PRJ-0319"/>
    <s v="Modernização de RH 600"/>
    <x v="11"/>
    <x v="6"/>
    <x v="3"/>
    <x v="208"/>
    <d v="2026-05-12T00:00:00"/>
    <x v="200"/>
    <x v="0"/>
    <n v="172637.8"/>
    <n v="64894.77"/>
    <n v="137352.98000000001"/>
    <n v="476"/>
    <n v="207"/>
    <s v="Híbrido"/>
    <n v="107743.03"/>
    <s v=""/>
  </r>
  <r>
    <s v="PRJ-0320"/>
    <s v="Implantação de Relatórios 114"/>
    <x v="57"/>
    <x v="3"/>
    <x v="1"/>
    <x v="209"/>
    <d v="2026-10-10T00:00:00"/>
    <x v="37"/>
    <x v="0"/>
    <n v="50000"/>
    <n v="2992.06"/>
    <n v="106839.75"/>
    <n v="438"/>
    <n v="20"/>
    <s v="Cascata"/>
    <n v="47007.94"/>
    <s v=""/>
  </r>
  <r>
    <s v="PRJ-0321"/>
    <s v="Padronização de RH 286"/>
    <x v="156"/>
    <x v="3"/>
    <x v="0"/>
    <x v="76"/>
    <d v="2026-12-31T00:00:00"/>
    <x v="187"/>
    <x v="0"/>
    <n v="50000"/>
    <n v="10987.28"/>
    <n v="33264.5"/>
    <n v="2204"/>
    <n v="387"/>
    <s v="Ágil"/>
    <n v="39012.720000000001"/>
    <s v=""/>
  </r>
  <r>
    <s v="PRJ-0322"/>
    <s v="Expansão de Dados 404"/>
    <x v="114"/>
    <x v="6"/>
    <x v="3"/>
    <x v="88"/>
    <d v="2026-12-18T00:00:00"/>
    <x v="134"/>
    <x v="3"/>
    <n v="160249.14000000001"/>
    <n v="149734.87"/>
    <n v="304326.23"/>
    <n v="1012"/>
    <n v="1030"/>
    <s v="Híbrido"/>
    <n v="10514.270000000019"/>
    <n v="67"/>
  </r>
  <r>
    <s v="PRJ-0323"/>
    <s v="Padronização de Operações 766"/>
    <x v="177"/>
    <x v="7"/>
    <x v="1"/>
    <x v="94"/>
    <d v="2026-06-22T00:00:00"/>
    <x v="6"/>
    <x v="0"/>
    <n v="57274.07"/>
    <n v="0"/>
    <n v="40420.11"/>
    <n v="662"/>
    <n v="0"/>
    <s v="Cascata"/>
    <n v="57274.07"/>
    <s v=""/>
  </r>
  <r>
    <s v="PRJ-0324"/>
    <s v="Implantação de Operações 556"/>
    <x v="117"/>
    <x v="7"/>
    <x v="0"/>
    <x v="210"/>
    <d v="2026-09-30T00:00:00"/>
    <x v="58"/>
    <x v="0"/>
    <n v="101332.88"/>
    <n v="112458.84"/>
    <n v="99649.09"/>
    <n v="641"/>
    <n v="660"/>
    <s v="Ágil"/>
    <n v="-11125.959999999992"/>
    <s v=""/>
  </r>
  <r>
    <s v="PRJ-0325"/>
    <s v="Modernização de Dados 727"/>
    <x v="178"/>
    <x v="0"/>
    <x v="0"/>
    <x v="57"/>
    <d v="2026-05-14T00:00:00"/>
    <x v="148"/>
    <x v="52"/>
    <n v="50000"/>
    <n v="57040.37"/>
    <n v="80827.42"/>
    <n v="4268"/>
    <n v="4224"/>
    <s v="Híbrido"/>
    <n v="-7040.3700000000026"/>
    <n v="104"/>
  </r>
  <r>
    <s v="PRJ-0326"/>
    <s v="Otimização de Plataforma 382"/>
    <x v="179"/>
    <x v="2"/>
    <x v="3"/>
    <x v="161"/>
    <d v="2026-08-01T00:00:00"/>
    <x v="201"/>
    <x v="0"/>
    <n v="211982.51"/>
    <n v="96001.37"/>
    <n v="157382.44"/>
    <n v="2407"/>
    <n v="1139"/>
    <s v="Cascata"/>
    <n v="115981.14000000001"/>
    <s v=""/>
  </r>
  <r>
    <s v="PRJ-0327"/>
    <s v="Implantação de Plataforma 112"/>
    <x v="15"/>
    <x v="7"/>
    <x v="3"/>
    <x v="83"/>
    <d v="2026-12-31T00:00:00"/>
    <x v="202"/>
    <x v="3"/>
    <n v="76171.710000000006"/>
    <n v="89363.35"/>
    <n v="133967.21"/>
    <n v="245"/>
    <n v="259"/>
    <s v="Ágil"/>
    <n v="-13191.64"/>
    <n v="37"/>
  </r>
  <r>
    <s v="PRJ-0328"/>
    <s v="Integração de Plataforma 023"/>
    <x v="14"/>
    <x v="0"/>
    <x v="3"/>
    <x v="211"/>
    <d v="2026-08-09T00:00:00"/>
    <x v="32"/>
    <x v="0"/>
    <n v="50000"/>
    <n v="26649.31"/>
    <n v="90526.1"/>
    <n v="2791"/>
    <n v="1730"/>
    <s v="Híbrido"/>
    <n v="23350.69"/>
    <s v=""/>
  </r>
  <r>
    <s v="PRJ-0329"/>
    <s v="Implantação de Segurança 496"/>
    <x v="91"/>
    <x v="2"/>
    <x v="3"/>
    <x v="111"/>
    <d v="2026-12-31T00:00:00"/>
    <x v="23"/>
    <x v="0"/>
    <n v="87592.86"/>
    <n v="51013.17"/>
    <n v="45001.35"/>
    <n v="432"/>
    <n v="261"/>
    <s v="Cascata"/>
    <n v="36579.69"/>
    <s v=""/>
  </r>
  <r>
    <s v="PRJ-0330"/>
    <s v="Padronização de Atendimento 379"/>
    <x v="88"/>
    <x v="9"/>
    <x v="3"/>
    <x v="212"/>
    <d v="2026-12-31T00:00:00"/>
    <x v="33"/>
    <x v="0"/>
    <n v="284034.05"/>
    <n v="225289.89"/>
    <n v="615421.38"/>
    <n v="2486"/>
    <n v="2152"/>
    <s v="Ágil"/>
    <n v="58744.159999999974"/>
    <s v=""/>
  </r>
  <r>
    <s v="PRJ-0331"/>
    <s v="Automação de Processos 994"/>
    <x v="166"/>
    <x v="4"/>
    <x v="0"/>
    <x v="213"/>
    <d v="2026-06-04T00:00:00"/>
    <x v="203"/>
    <x v="0"/>
    <n v="94380.77"/>
    <n v="77275.34"/>
    <n v="122516.12"/>
    <n v="3629"/>
    <n v="2436"/>
    <s v="Híbrido"/>
    <n v="17105.430000000008"/>
    <s v=""/>
  </r>
  <r>
    <s v="PRJ-0332"/>
    <s v="Modernização de Atendimento 026"/>
    <x v="116"/>
    <x v="2"/>
    <x v="3"/>
    <x v="214"/>
    <d v="2026-05-04T00:00:00"/>
    <x v="180"/>
    <x v="38"/>
    <n v="107693.33"/>
    <n v="117285.89"/>
    <n v="210262.85"/>
    <n v="1397"/>
    <n v="1353"/>
    <s v="Cascata"/>
    <n v="-9592.5599999999977"/>
    <n v="48"/>
  </r>
  <r>
    <s v="PRJ-0333"/>
    <s v="Expansão de Segurança 503"/>
    <x v="180"/>
    <x v="6"/>
    <x v="3"/>
    <x v="70"/>
    <d v="2026-12-21T00:00:00"/>
    <x v="204"/>
    <x v="0"/>
    <n v="253510.04"/>
    <n v="137612.07999999999"/>
    <n v="120055.03999999999"/>
    <n v="1736"/>
    <n v="783"/>
    <s v="Ágil"/>
    <n v="115897.96000000002"/>
    <s v=""/>
  </r>
  <r>
    <s v="PRJ-0334"/>
    <s v="Padronização de Financeiro 823"/>
    <x v="26"/>
    <x v="1"/>
    <x v="2"/>
    <x v="146"/>
    <d v="2026-11-13T00:00:00"/>
    <x v="144"/>
    <x v="0"/>
    <n v="50000"/>
    <n v="14151"/>
    <n v="17527.79"/>
    <n v="3810"/>
    <n v="842"/>
    <s v="Híbrido"/>
    <n v="35849"/>
    <s v=""/>
  </r>
  <r>
    <s v="PRJ-0335"/>
    <s v="Expansão de Atendimento 425"/>
    <x v="170"/>
    <x v="5"/>
    <x v="0"/>
    <x v="56"/>
    <d v="2026-06-11T00:00:00"/>
    <x v="205"/>
    <x v="53"/>
    <n v="143288.97"/>
    <n v="127851.04"/>
    <n v="264284.59000000003"/>
    <n v="2364"/>
    <n v="2497"/>
    <s v="Cascata"/>
    <n v="15437.930000000008"/>
    <n v="72"/>
  </r>
  <r>
    <s v="PRJ-0336"/>
    <s v="Implantação de Atendimento 979"/>
    <x v="19"/>
    <x v="7"/>
    <x v="1"/>
    <x v="178"/>
    <d v="2026-08-24T00:00:00"/>
    <x v="206"/>
    <x v="0"/>
    <n v="68247.92"/>
    <n v="35031.440000000002"/>
    <n v="43282.25"/>
    <n v="1621"/>
    <n v="1057"/>
    <s v="Ágil"/>
    <n v="33216.479999999996"/>
    <s v=""/>
  </r>
  <r>
    <s v="PRJ-0337"/>
    <s v="Padronização de Plataforma 383"/>
    <x v="37"/>
    <x v="8"/>
    <x v="1"/>
    <x v="31"/>
    <d v="2026-08-18T00:00:00"/>
    <x v="18"/>
    <x v="0"/>
    <n v="68397.33"/>
    <n v="36881.1"/>
    <n v="118612.75"/>
    <n v="573"/>
    <n v="321"/>
    <s v="Híbrido"/>
    <n v="31516.230000000003"/>
    <s v=""/>
  </r>
  <r>
    <s v="PRJ-0338"/>
    <s v="Modernização de Dados 199"/>
    <x v="181"/>
    <x v="9"/>
    <x v="1"/>
    <x v="215"/>
    <d v="2026-10-02T00:00:00"/>
    <x v="99"/>
    <x v="0"/>
    <n v="54490.42"/>
    <n v="40973.11"/>
    <n v="116599.76"/>
    <n v="1023"/>
    <n v="544"/>
    <s v="Cascata"/>
    <n v="13517.309999999998"/>
    <s v=""/>
  </r>
  <r>
    <s v="PRJ-0339"/>
    <s v="Automação de Dados 289"/>
    <x v="182"/>
    <x v="1"/>
    <x v="3"/>
    <x v="216"/>
    <d v="2026-07-26T00:00:00"/>
    <x v="207"/>
    <x v="54"/>
    <n v="129993.94"/>
    <n v="117271.2"/>
    <n v="197917.72"/>
    <n v="2983"/>
    <n v="2704"/>
    <s v="Ágil"/>
    <n v="12722.740000000005"/>
    <n v="66"/>
  </r>
  <r>
    <s v="PRJ-0340"/>
    <s v="Padronização de Supply 320"/>
    <x v="56"/>
    <x v="3"/>
    <x v="2"/>
    <x v="217"/>
    <d v="2026-06-19T00:00:00"/>
    <x v="129"/>
    <x v="0"/>
    <n v="210274.53"/>
    <n v="146759.91"/>
    <n v="128450.57"/>
    <n v="2474"/>
    <n v="1699"/>
    <s v="Híbrido"/>
    <n v="63514.619999999995"/>
    <s v=""/>
  </r>
  <r>
    <s v="PRJ-0341"/>
    <s v="Modernização de Plataforma 020"/>
    <x v="183"/>
    <x v="7"/>
    <x v="1"/>
    <x v="169"/>
    <d v="2026-07-13T00:00:00"/>
    <x v="10"/>
    <x v="0"/>
    <n v="50000"/>
    <n v="4523.16"/>
    <n v="104371.33"/>
    <n v="4022"/>
    <n v="424"/>
    <s v="Cascata"/>
    <n v="45476.84"/>
    <s v=""/>
  </r>
  <r>
    <s v="PRJ-0342"/>
    <s v="Integração de Operações 923"/>
    <x v="184"/>
    <x v="9"/>
    <x v="1"/>
    <x v="218"/>
    <d v="2026-04-12T00:00:00"/>
    <x v="115"/>
    <x v="0"/>
    <n v="50000"/>
    <n v="39062.86"/>
    <n v="37327.97"/>
    <n v="1127"/>
    <n v="857"/>
    <s v="Ágil"/>
    <n v="10937.14"/>
    <s v=""/>
  </r>
  <r>
    <s v="PRJ-0343"/>
    <s v="Otimização de Dados 223"/>
    <x v="185"/>
    <x v="2"/>
    <x v="1"/>
    <x v="47"/>
    <d v="2026-10-12T00:00:00"/>
    <x v="208"/>
    <x v="55"/>
    <n v="99839.52"/>
    <n v="90284.71"/>
    <n v="215367.08"/>
    <n v="2876"/>
    <n v="2694"/>
    <s v="Híbrido"/>
    <n v="9554.8099999999977"/>
    <n v="140"/>
  </r>
  <r>
    <s v="PRJ-0344"/>
    <s v="Expansão de Segurança 527"/>
    <x v="186"/>
    <x v="5"/>
    <x v="2"/>
    <x v="130"/>
    <d v="2026-11-15T00:00:00"/>
    <x v="209"/>
    <x v="0"/>
    <n v="77751.64"/>
    <n v="24189.91"/>
    <n v="64907.6"/>
    <n v="2113"/>
    <n v="459"/>
    <s v="Cascata"/>
    <n v="53561.729999999996"/>
    <s v=""/>
  </r>
  <r>
    <s v="PRJ-0345"/>
    <s v="Implantação de RH 232"/>
    <x v="22"/>
    <x v="0"/>
    <x v="1"/>
    <x v="40"/>
    <d v="2026-09-27T00:00:00"/>
    <x v="140"/>
    <x v="0"/>
    <n v="60559.06"/>
    <n v="32214.99"/>
    <n v="72768.600000000006"/>
    <n v="1607"/>
    <n v="777"/>
    <s v="Ágil"/>
    <n v="28344.069999999996"/>
    <s v=""/>
  </r>
  <r>
    <s v="PRJ-0346"/>
    <s v="Automação de Financeiro 411"/>
    <x v="163"/>
    <x v="8"/>
    <x v="1"/>
    <x v="219"/>
    <d v="2026-08-26T00:00:00"/>
    <x v="170"/>
    <x v="1"/>
    <n v="247398.77"/>
    <n v="260366.89"/>
    <n v="150609.20000000001"/>
    <n v="2781"/>
    <n v="2233"/>
    <s v="Híbrido"/>
    <n v="-12968.120000000024"/>
    <n v="38"/>
  </r>
  <r>
    <s v="PRJ-0347"/>
    <s v="Expansão de Supply 488"/>
    <x v="18"/>
    <x v="5"/>
    <x v="3"/>
    <x v="220"/>
    <d v="2026-09-09T00:00:00"/>
    <x v="210"/>
    <x v="0"/>
    <n v="71027.55"/>
    <n v="63644.04"/>
    <n v="100718.44"/>
    <n v="3570"/>
    <n v="3321"/>
    <s v="Cascata"/>
    <n v="7383.510000000002"/>
    <s v=""/>
  </r>
  <r>
    <s v="PRJ-0348"/>
    <s v="Otimização de Relatórios 392"/>
    <x v="187"/>
    <x v="7"/>
    <x v="1"/>
    <x v="160"/>
    <d v="2026-05-23T00:00:00"/>
    <x v="164"/>
    <x v="0"/>
    <n v="282618.08"/>
    <n v="63500.45"/>
    <n v="345693.53"/>
    <n v="1145"/>
    <n v="181"/>
    <s v="Ágil"/>
    <n v="219117.63"/>
    <s v=""/>
  </r>
  <r>
    <s v="PRJ-0349"/>
    <s v="Otimização de Processos 441"/>
    <x v="121"/>
    <x v="5"/>
    <x v="3"/>
    <x v="129"/>
    <d v="2026-09-14T00:00:00"/>
    <x v="6"/>
    <x v="0"/>
    <n v="82165.78"/>
    <n v="0"/>
    <n v="77011.759999999995"/>
    <n v="201"/>
    <n v="0"/>
    <s v="Híbrido"/>
    <n v="82165.78"/>
    <s v=""/>
  </r>
  <r>
    <s v="PRJ-0350"/>
    <s v="Modernização de Operações 692"/>
    <x v="188"/>
    <x v="7"/>
    <x v="0"/>
    <x v="163"/>
    <d v="2026-12-31T00:00:00"/>
    <x v="6"/>
    <x v="0"/>
    <n v="532689.94999999995"/>
    <n v="0"/>
    <n v="382947.56"/>
    <n v="1031"/>
    <n v="0"/>
    <s v="Cascata"/>
    <n v="532689.94999999995"/>
    <s v=""/>
  </r>
  <r>
    <s v="PRJ-0351"/>
    <s v="Otimização de Relatórios 858"/>
    <x v="85"/>
    <x v="4"/>
    <x v="3"/>
    <x v="221"/>
    <d v="2026-10-12T00:00:00"/>
    <x v="128"/>
    <x v="0"/>
    <n v="116117.19"/>
    <n v="37325.519999999997"/>
    <n v="177805.33"/>
    <n v="847"/>
    <n v="210"/>
    <s v="Ágil"/>
    <n v="78791.670000000013"/>
    <s v=""/>
  </r>
  <r>
    <s v="PRJ-0352"/>
    <s v="Modernização de Atendimento 118"/>
    <x v="189"/>
    <x v="1"/>
    <x v="0"/>
    <x v="215"/>
    <d v="2026-10-16T00:00:00"/>
    <x v="123"/>
    <x v="0"/>
    <n v="54442"/>
    <n v="19912.45"/>
    <n v="40571.14"/>
    <n v="2526"/>
    <n v="1071"/>
    <s v="Híbrido"/>
    <n v="34529.550000000003"/>
    <s v=""/>
  </r>
  <r>
    <s v="PRJ-0353"/>
    <s v="Modernização de RH 103"/>
    <x v="102"/>
    <x v="9"/>
    <x v="1"/>
    <x v="101"/>
    <d v="2026-07-14T00:00:00"/>
    <x v="22"/>
    <x v="0"/>
    <n v="212681.8"/>
    <n v="36065.160000000003"/>
    <n v="391499.74"/>
    <n v="3614"/>
    <n v="715"/>
    <s v="Cascata"/>
    <n v="176616.63999999998"/>
    <s v=""/>
  </r>
  <r>
    <s v="PRJ-0354"/>
    <s v="Modernização de Operações 098"/>
    <x v="190"/>
    <x v="7"/>
    <x v="1"/>
    <x v="222"/>
    <d v="2026-12-31T00:00:00"/>
    <x v="211"/>
    <x v="56"/>
    <n v="68146.06"/>
    <n v="34391.32"/>
    <n v="26899.59"/>
    <n v="1579"/>
    <n v="731"/>
    <s v="Ágil"/>
    <n v="33754.74"/>
    <n v="5"/>
  </r>
  <r>
    <s v="PRJ-0355"/>
    <s v="Padronização de Dados 185"/>
    <x v="191"/>
    <x v="8"/>
    <x v="3"/>
    <x v="137"/>
    <d v="2026-12-31T00:00:00"/>
    <x v="69"/>
    <x v="0"/>
    <n v="92527.96"/>
    <n v="38221.089999999997"/>
    <n v="116226.11"/>
    <n v="942"/>
    <n v="382"/>
    <s v="Híbrido"/>
    <n v="54306.87000000001"/>
    <s v=""/>
  </r>
  <r>
    <s v="PRJ-0356"/>
    <s v="Implantação de Financeiro 421"/>
    <x v="192"/>
    <x v="5"/>
    <x v="1"/>
    <x v="25"/>
    <d v="2026-12-31T00:00:00"/>
    <x v="167"/>
    <x v="0"/>
    <n v="115229.63"/>
    <n v="57769.66"/>
    <n v="248896"/>
    <n v="571"/>
    <n v="365"/>
    <s v="Cascata"/>
    <n v="57459.97"/>
    <s v=""/>
  </r>
  <r>
    <s v="PRJ-0357"/>
    <s v="Padronização de Dados 447"/>
    <x v="114"/>
    <x v="6"/>
    <x v="3"/>
    <x v="91"/>
    <d v="2026-07-18T00:00:00"/>
    <x v="164"/>
    <x v="0"/>
    <n v="64356.59"/>
    <n v="31127.5"/>
    <n v="115773.42"/>
    <n v="2022"/>
    <n v="1020"/>
    <s v="Ágil"/>
    <n v="33229.089999999997"/>
    <s v=""/>
  </r>
  <r>
    <s v="PRJ-0358"/>
    <s v="Implantação de Plataforma 923"/>
    <x v="129"/>
    <x v="6"/>
    <x v="3"/>
    <x v="92"/>
    <d v="2026-12-31T00:00:00"/>
    <x v="147"/>
    <x v="0"/>
    <n v="50000"/>
    <n v="25685.439999999999"/>
    <n v="63083.29"/>
    <n v="659"/>
    <n v="368"/>
    <s v="Híbrido"/>
    <n v="24314.560000000001"/>
    <s v=""/>
  </r>
  <r>
    <s v="PRJ-0359"/>
    <s v="Revisão de Supply 853"/>
    <x v="18"/>
    <x v="0"/>
    <x v="2"/>
    <x v="37"/>
    <d v="2026-10-30T00:00:00"/>
    <x v="212"/>
    <x v="0"/>
    <n v="91029.61"/>
    <n v="82513.929999999993"/>
    <n v="164628.38"/>
    <n v="968"/>
    <n v="800"/>
    <s v="Cascata"/>
    <n v="8515.6800000000076"/>
    <s v=""/>
  </r>
  <r>
    <s v="PRJ-0360"/>
    <s v="Expansão de RH 700"/>
    <x v="102"/>
    <x v="6"/>
    <x v="1"/>
    <x v="223"/>
    <d v="2026-10-21T00:00:00"/>
    <x v="213"/>
    <x v="0"/>
    <n v="50000"/>
    <n v="3086.76"/>
    <n v="50848.11"/>
    <n v="1944"/>
    <n v="94"/>
    <s v="Ágil"/>
    <n v="46913.24"/>
    <s v=""/>
  </r>
  <r>
    <s v="PRJ-0361"/>
    <s v="Implantação de Supply 925"/>
    <x v="12"/>
    <x v="5"/>
    <x v="3"/>
    <x v="99"/>
    <d v="2026-04-25T00:00:00"/>
    <x v="214"/>
    <x v="0"/>
    <n v="180807.95"/>
    <n v="74145.06"/>
    <n v="72202.09"/>
    <n v="2024"/>
    <n v="758"/>
    <s v="Híbrido"/>
    <n v="106662.89000000001"/>
    <s v=""/>
  </r>
  <r>
    <s v="PRJ-0362"/>
    <s v="Expansão de Processos 281"/>
    <x v="121"/>
    <x v="6"/>
    <x v="3"/>
    <x v="224"/>
    <d v="2026-06-11T00:00:00"/>
    <x v="215"/>
    <x v="0"/>
    <n v="170105.2"/>
    <n v="38148.69"/>
    <n v="278046.74"/>
    <n v="2737"/>
    <n v="495"/>
    <s v="Cascata"/>
    <n v="131956.51"/>
    <s v=""/>
  </r>
  <r>
    <s v="PRJ-0363"/>
    <s v="Otimização de Processos 657"/>
    <x v="193"/>
    <x v="7"/>
    <x v="2"/>
    <x v="225"/>
    <d v="2026-12-31T00:00:00"/>
    <x v="216"/>
    <x v="0"/>
    <n v="120358.46"/>
    <n v="19086.3"/>
    <n v="59508.97"/>
    <n v="351"/>
    <n v="53"/>
    <s v="Ágil"/>
    <n v="101272.16"/>
    <s v=""/>
  </r>
  <r>
    <s v="PRJ-0364"/>
    <s v="Automação de Operações 847"/>
    <x v="175"/>
    <x v="5"/>
    <x v="3"/>
    <x v="15"/>
    <d v="2026-07-24T00:00:00"/>
    <x v="217"/>
    <x v="0"/>
    <n v="102516.85"/>
    <n v="68559.98"/>
    <n v="215055.24"/>
    <n v="2573"/>
    <n v="1516"/>
    <s v="Híbrido"/>
    <n v="33956.87000000001"/>
    <s v=""/>
  </r>
  <r>
    <s v="PRJ-0365"/>
    <s v="Expansão de Operações 440"/>
    <x v="190"/>
    <x v="6"/>
    <x v="3"/>
    <x v="135"/>
    <d v="2026-03-22T00:00:00"/>
    <x v="218"/>
    <x v="57"/>
    <n v="92902.22"/>
    <n v="94106.53"/>
    <n v="202014.21"/>
    <n v="2000"/>
    <n v="2049"/>
    <s v="Cascata"/>
    <n v="-1204.3099999999977"/>
    <n v="49"/>
  </r>
  <r>
    <s v="PRJ-0366"/>
    <s v="Padronização de Financeiro 134"/>
    <x v="194"/>
    <x v="5"/>
    <x v="2"/>
    <x v="70"/>
    <d v="2026-12-31T00:00:00"/>
    <x v="219"/>
    <x v="0"/>
    <n v="197783.93"/>
    <n v="68353.62"/>
    <n v="423894.89"/>
    <n v="1395"/>
    <n v="557"/>
    <s v="Ágil"/>
    <n v="129430.31"/>
    <s v=""/>
  </r>
  <r>
    <s v="PRJ-0367"/>
    <s v="Padronização de Plataforma 011"/>
    <x v="123"/>
    <x v="1"/>
    <x v="2"/>
    <x v="223"/>
    <d v="2026-09-27T00:00:00"/>
    <x v="24"/>
    <x v="0"/>
    <n v="113233.53"/>
    <n v="74381.429999999993"/>
    <n v="215162.74"/>
    <n v="1330"/>
    <n v="1129"/>
    <s v="Híbrido"/>
    <n v="38852.100000000006"/>
    <s v=""/>
  </r>
  <r>
    <s v="PRJ-0368"/>
    <s v="Otimização de Processos 260"/>
    <x v="166"/>
    <x v="2"/>
    <x v="0"/>
    <x v="153"/>
    <d v="2026-08-17T00:00:00"/>
    <x v="54"/>
    <x v="0"/>
    <n v="62594.97"/>
    <n v="22973.119999999999"/>
    <n v="66466.070000000007"/>
    <n v="3586"/>
    <n v="1100"/>
    <s v="Cascata"/>
    <n v="39621.850000000006"/>
    <s v=""/>
  </r>
  <r>
    <s v="PRJ-0369"/>
    <s v="Expansão de Relatórios 267"/>
    <x v="161"/>
    <x v="3"/>
    <x v="2"/>
    <x v="226"/>
    <d v="2026-12-23T00:00:00"/>
    <x v="196"/>
    <x v="0"/>
    <n v="50000"/>
    <n v="29864.97"/>
    <n v="52072.66"/>
    <n v="2101"/>
    <n v="1156"/>
    <s v="Ágil"/>
    <n v="20135.03"/>
    <s v=""/>
  </r>
  <r>
    <s v="PRJ-0370"/>
    <s v="Padronização de Relatórios 570"/>
    <x v="105"/>
    <x v="9"/>
    <x v="3"/>
    <x v="33"/>
    <d v="2026-09-12T00:00:00"/>
    <x v="220"/>
    <x v="0"/>
    <n v="197243.83"/>
    <n v="68968.210000000006"/>
    <n v="358017.09"/>
    <n v="4795"/>
    <n v="1635"/>
    <s v="Híbrido"/>
    <n v="128275.61999999998"/>
    <s v=""/>
  </r>
  <r>
    <s v="PRJ-0371"/>
    <s v="Padronização de RH 116"/>
    <x v="127"/>
    <x v="6"/>
    <x v="1"/>
    <x v="227"/>
    <d v="2026-09-11T00:00:00"/>
    <x v="221"/>
    <x v="0"/>
    <n v="98964.67"/>
    <n v="83619.86"/>
    <n v="86675.73"/>
    <n v="151"/>
    <n v="117"/>
    <s v="Cascata"/>
    <n v="15344.809999999998"/>
    <s v=""/>
  </r>
  <r>
    <s v="PRJ-0372"/>
    <s v="Expansão de Plataforma 253"/>
    <x v="169"/>
    <x v="2"/>
    <x v="1"/>
    <x v="228"/>
    <d v="2026-08-30T00:00:00"/>
    <x v="222"/>
    <x v="5"/>
    <n v="335421.49"/>
    <n v="380851.96"/>
    <n v="232873.7"/>
    <n v="3277"/>
    <n v="3041"/>
    <s v="Ágil"/>
    <n v="-45430.47000000003"/>
    <n v="99"/>
  </r>
  <r>
    <s v="PRJ-0373"/>
    <s v="Implantação de Operações 674"/>
    <x v="195"/>
    <x v="2"/>
    <x v="3"/>
    <x v="177"/>
    <d v="2026-04-03T00:00:00"/>
    <x v="177"/>
    <x v="0"/>
    <n v="50000"/>
    <n v="28497.65"/>
    <n v="61100.34"/>
    <n v="1498"/>
    <n v="693"/>
    <s v="Híbrido"/>
    <n v="21502.35"/>
    <s v=""/>
  </r>
  <r>
    <s v="PRJ-0374"/>
    <s v="Expansão de Atendimento 183"/>
    <x v="196"/>
    <x v="9"/>
    <x v="3"/>
    <x v="4"/>
    <d v="2026-05-03T00:00:00"/>
    <x v="223"/>
    <x v="0"/>
    <n v="50000"/>
    <n v="28047.49"/>
    <n v="76533.41"/>
    <n v="80"/>
    <n v="35"/>
    <s v="Cascata"/>
    <n v="21952.51"/>
    <s v=""/>
  </r>
  <r>
    <s v="PRJ-0375"/>
    <s v="Revisão de Plataforma 853"/>
    <x v="28"/>
    <x v="0"/>
    <x v="0"/>
    <x v="108"/>
    <d v="2026-12-31T00:00:00"/>
    <x v="114"/>
    <x v="0"/>
    <n v="58343.43"/>
    <n v="25864.48"/>
    <n v="73894.37"/>
    <n v="195"/>
    <n v="116"/>
    <s v="Ágil"/>
    <n v="32478.95"/>
    <s v=""/>
  </r>
  <r>
    <s v="PRJ-0376"/>
    <s v="Padronização de Segurança 664"/>
    <x v="186"/>
    <x v="6"/>
    <x v="3"/>
    <x v="224"/>
    <d v="2026-04-20T00:00:00"/>
    <x v="224"/>
    <x v="0"/>
    <n v="54864.04"/>
    <n v="35268.94"/>
    <n v="78614.210000000006"/>
    <n v="3065"/>
    <n v="2087"/>
    <s v="Híbrido"/>
    <n v="19595.099999999999"/>
    <s v=""/>
  </r>
  <r>
    <s v="PRJ-0377"/>
    <s v="Otimização de Dados 111"/>
    <x v="153"/>
    <x v="4"/>
    <x v="3"/>
    <x v="229"/>
    <d v="2026-06-05T00:00:00"/>
    <x v="217"/>
    <x v="58"/>
    <n v="67552.149999999994"/>
    <n v="70003.63"/>
    <n v="51100.87"/>
    <n v="2760"/>
    <n v="2941"/>
    <s v="Cascata"/>
    <n v="-2451.4800000000105"/>
    <n v="84"/>
  </r>
  <r>
    <s v="PRJ-0378"/>
    <s v="Otimização de Plataforma 427"/>
    <x v="77"/>
    <x v="3"/>
    <x v="3"/>
    <x v="230"/>
    <d v="2026-11-26T00:00:00"/>
    <x v="102"/>
    <x v="59"/>
    <n v="118894.2"/>
    <n v="126268.13"/>
    <n v="41957.53"/>
    <n v="1202"/>
    <n v="1233"/>
    <s v="Ágil"/>
    <n v="-7373.9300000000076"/>
    <n v="33"/>
  </r>
  <r>
    <s v="PRJ-0379"/>
    <s v="Automação de RH 472"/>
    <x v="144"/>
    <x v="1"/>
    <x v="0"/>
    <x v="4"/>
    <d v="2026-07-16T00:00:00"/>
    <x v="84"/>
    <x v="60"/>
    <n v="191462.46"/>
    <n v="238611.45"/>
    <n v="158529.60000000001"/>
    <n v="2464"/>
    <n v="2832"/>
    <s v="Híbrido"/>
    <n v="-47148.99000000002"/>
    <n v="78"/>
  </r>
  <r>
    <s v="PRJ-0380"/>
    <s v="Integração de Processos 215"/>
    <x v="197"/>
    <x v="7"/>
    <x v="3"/>
    <x v="231"/>
    <d v="2026-12-31T00:00:00"/>
    <x v="69"/>
    <x v="0"/>
    <n v="174116.87"/>
    <n v="39345.06"/>
    <n v="335607.96"/>
    <n v="818"/>
    <n v="213"/>
    <s v="Cascata"/>
    <n v="134771.81"/>
    <s v=""/>
  </r>
  <r>
    <s v="PRJ-0381"/>
    <s v="Padronização de Processos 881"/>
    <x v="1"/>
    <x v="6"/>
    <x v="0"/>
    <x v="210"/>
    <d v="2026-11-01T00:00:00"/>
    <x v="225"/>
    <x v="0"/>
    <n v="50000"/>
    <n v="35027.24"/>
    <n v="40487.279999999999"/>
    <n v="1551"/>
    <n v="715"/>
    <s v="Ágil"/>
    <n v="14972.760000000002"/>
    <s v=""/>
  </r>
  <r>
    <s v="PRJ-0382"/>
    <s v="Otimização de RH 410"/>
    <x v="144"/>
    <x v="6"/>
    <x v="3"/>
    <x v="191"/>
    <d v="2026-03-31T00:00:00"/>
    <x v="34"/>
    <x v="0"/>
    <n v="97381.85"/>
    <n v="80989.42"/>
    <n v="184838.81"/>
    <n v="1100"/>
    <n v="853"/>
    <s v="Híbrido"/>
    <n v="16392.430000000008"/>
    <s v=""/>
  </r>
  <r>
    <s v="PRJ-0383"/>
    <s v="Expansão de Processos 166"/>
    <x v="66"/>
    <x v="1"/>
    <x v="1"/>
    <x v="32"/>
    <d v="2026-11-12T00:00:00"/>
    <x v="6"/>
    <x v="0"/>
    <n v="50000"/>
    <n v="0"/>
    <n v="105135.1"/>
    <n v="1422"/>
    <n v="0"/>
    <s v="Cascata"/>
    <n v="50000"/>
    <s v=""/>
  </r>
  <r>
    <s v="PRJ-0384"/>
    <s v="Revisão de RH 819"/>
    <x v="198"/>
    <x v="7"/>
    <x v="3"/>
    <x v="232"/>
    <d v="2026-12-31T00:00:00"/>
    <x v="187"/>
    <x v="0"/>
    <n v="104855.05"/>
    <n v="66113.67"/>
    <n v="127581"/>
    <n v="1479"/>
    <n v="1124"/>
    <s v="Ágil"/>
    <n v="38741.380000000005"/>
    <s v=""/>
  </r>
  <r>
    <s v="PRJ-0385"/>
    <s v="Otimização de Processos 368"/>
    <x v="35"/>
    <x v="6"/>
    <x v="0"/>
    <x v="15"/>
    <d v="2026-06-23T00:00:00"/>
    <x v="205"/>
    <x v="0"/>
    <n v="50000"/>
    <n v="43274.3"/>
    <n v="50324.49"/>
    <n v="1537"/>
    <n v="1208"/>
    <s v="Híbrido"/>
    <n v="6725.6999999999971"/>
    <s v=""/>
  </r>
  <r>
    <s v="PRJ-0386"/>
    <s v="Otimização de Dados 274"/>
    <x v="103"/>
    <x v="5"/>
    <x v="0"/>
    <x v="53"/>
    <d v="2026-10-22T00:00:00"/>
    <x v="6"/>
    <x v="0"/>
    <n v="111265.93"/>
    <n v="0"/>
    <n v="177806.69"/>
    <n v="1657"/>
    <n v="0"/>
    <s v="Cascata"/>
    <n v="111265.93"/>
    <s v=""/>
  </r>
  <r>
    <s v="PRJ-0387"/>
    <s v="Automação de Atendimento 726"/>
    <x v="116"/>
    <x v="1"/>
    <x v="0"/>
    <x v="177"/>
    <d v="2026-06-29T00:00:00"/>
    <x v="226"/>
    <x v="0"/>
    <n v="56733.46"/>
    <n v="48332.46"/>
    <n v="24205.54"/>
    <n v="5205"/>
    <n v="4447"/>
    <s v="Ágil"/>
    <n v="8401"/>
    <s v=""/>
  </r>
  <r>
    <s v="PRJ-0388"/>
    <s v="Modernização de Atendimento 382"/>
    <x v="199"/>
    <x v="7"/>
    <x v="1"/>
    <x v="233"/>
    <d v="2026-12-07T00:00:00"/>
    <x v="37"/>
    <x v="11"/>
    <n v="90970.77"/>
    <n v="99411.88"/>
    <n v="59872.39"/>
    <n v="2382"/>
    <n v="2327"/>
    <s v="Híbrido"/>
    <n v="-8441.11"/>
    <n v="99"/>
  </r>
  <r>
    <s v="PRJ-0389"/>
    <s v="Modernização de Plataforma 347"/>
    <x v="179"/>
    <x v="6"/>
    <x v="0"/>
    <x v="173"/>
    <d v="2026-12-31T00:00:00"/>
    <x v="213"/>
    <x v="0"/>
    <n v="91714.39"/>
    <n v="4838"/>
    <n v="36738.79"/>
    <n v="2184"/>
    <n v="118"/>
    <s v="Cascata"/>
    <n v="86876.39"/>
    <s v=""/>
  </r>
  <r>
    <s v="PRJ-0390"/>
    <s v="Revisão de Supply 009"/>
    <x v="200"/>
    <x v="5"/>
    <x v="1"/>
    <x v="164"/>
    <d v="2026-12-31T00:00:00"/>
    <x v="79"/>
    <x v="0"/>
    <n v="342162.28"/>
    <n v="236228.9"/>
    <n v="675561.9"/>
    <n v="1472"/>
    <n v="1374"/>
    <s v="Ágil"/>
    <n v="105933.38000000003"/>
    <s v=""/>
  </r>
  <r>
    <s v="PRJ-0391"/>
    <s v="Modernização de Processos 551"/>
    <x v="147"/>
    <x v="1"/>
    <x v="0"/>
    <x v="207"/>
    <d v="2026-12-09T00:00:00"/>
    <x v="227"/>
    <x v="0"/>
    <n v="51972.639999999999"/>
    <n v="17627.41"/>
    <n v="93653.440000000002"/>
    <n v="297"/>
    <n v="104"/>
    <s v="Híbrido"/>
    <n v="34345.229999999996"/>
    <s v=""/>
  </r>
  <r>
    <s v="PRJ-0392"/>
    <s v="Otimização de Supply 266"/>
    <x v="201"/>
    <x v="5"/>
    <x v="1"/>
    <x v="234"/>
    <d v="2026-07-08T00:00:00"/>
    <x v="217"/>
    <x v="0"/>
    <n v="663557.52"/>
    <n v="489270.4"/>
    <n v="858805.26"/>
    <n v="3280"/>
    <n v="2684"/>
    <s v="Cascata"/>
    <n v="174287.12"/>
    <s v=""/>
  </r>
  <r>
    <s v="PRJ-0393"/>
    <s v="Automação de Financeiro 533"/>
    <x v="96"/>
    <x v="0"/>
    <x v="0"/>
    <x v="235"/>
    <d v="2026-04-01T00:00:00"/>
    <x v="218"/>
    <x v="0"/>
    <n v="65439.38"/>
    <n v="28877.45"/>
    <n v="33710.400000000001"/>
    <n v="2600"/>
    <n v="1176"/>
    <s v="Ágil"/>
    <n v="36561.929999999993"/>
    <s v=""/>
  </r>
  <r>
    <s v="PRJ-0394"/>
    <s v="Expansão de Operações 573"/>
    <x v="4"/>
    <x v="2"/>
    <x v="0"/>
    <x v="236"/>
    <d v="2026-10-27T00:00:00"/>
    <x v="6"/>
    <x v="0"/>
    <n v="419193.04"/>
    <n v="0"/>
    <n v="235986.99"/>
    <n v="1962"/>
    <n v="0"/>
    <s v="Híbrido"/>
    <n v="419193.04"/>
    <s v=""/>
  </r>
  <r>
    <s v="PRJ-0395"/>
    <s v="Modernização de Segurança 467"/>
    <x v="202"/>
    <x v="8"/>
    <x v="3"/>
    <x v="180"/>
    <d v="2026-11-14T00:00:00"/>
    <x v="53"/>
    <x v="0"/>
    <n v="96625.600000000006"/>
    <n v="61858.400000000001"/>
    <n v="104368.94"/>
    <n v="1952"/>
    <n v="932"/>
    <s v="Cascata"/>
    <n v="34767.200000000004"/>
    <s v=""/>
  </r>
  <r>
    <s v="PRJ-0396"/>
    <s v="Padronização de Processos 811"/>
    <x v="155"/>
    <x v="5"/>
    <x v="2"/>
    <x v="198"/>
    <d v="2026-08-29T00:00:00"/>
    <x v="61"/>
    <x v="61"/>
    <n v="161069.96"/>
    <n v="165377.21"/>
    <n v="154428.34"/>
    <n v="1506"/>
    <n v="1353"/>
    <s v="Ágil"/>
    <n v="-4307.25"/>
    <n v="49"/>
  </r>
  <r>
    <s v="PRJ-0397"/>
    <s v="Padronização de Supply 801"/>
    <x v="67"/>
    <x v="1"/>
    <x v="1"/>
    <x v="49"/>
    <d v="2026-10-22T00:00:00"/>
    <x v="212"/>
    <x v="19"/>
    <n v="131766.79"/>
    <n v="139808.76"/>
    <n v="203622.96"/>
    <n v="545"/>
    <n v="452"/>
    <s v="Híbrido"/>
    <n v="-8041.9700000000012"/>
    <n v="70"/>
  </r>
  <r>
    <s v="PRJ-0398"/>
    <s v="Revisão de Dados 047"/>
    <x v="69"/>
    <x v="1"/>
    <x v="0"/>
    <x v="68"/>
    <d v="2026-09-17T00:00:00"/>
    <x v="11"/>
    <x v="0"/>
    <n v="224474.12"/>
    <n v="171290.15"/>
    <n v="349626.21"/>
    <n v="1309"/>
    <n v="856"/>
    <s v="Cascata"/>
    <n v="53183.97"/>
    <s v=""/>
  </r>
  <r>
    <s v="PRJ-0399"/>
    <s v="Integração de RH 515"/>
    <x v="30"/>
    <x v="0"/>
    <x v="0"/>
    <x v="74"/>
    <d v="2026-12-31T00:00:00"/>
    <x v="52"/>
    <x v="0"/>
    <n v="105204.23"/>
    <n v="46681.2"/>
    <n v="77951"/>
    <n v="1854"/>
    <n v="631"/>
    <s v="Ágil"/>
    <n v="58523.03"/>
    <s v=""/>
  </r>
  <r>
    <s v="PRJ-0400"/>
    <s v="Expansão de Relatórios 425"/>
    <x v="154"/>
    <x v="4"/>
    <x v="2"/>
    <x v="122"/>
    <d v="2026-09-25T00:00:00"/>
    <x v="119"/>
    <x v="0"/>
    <n v="51840.34"/>
    <n v="43400.84"/>
    <n v="110260.93"/>
    <n v="904"/>
    <n v="688"/>
    <s v="Híbrido"/>
    <n v="8439.5"/>
    <s v=""/>
  </r>
  <r>
    <s v="PRJ-0401"/>
    <s v="Revisão de Relatórios 028"/>
    <x v="161"/>
    <x v="2"/>
    <x v="3"/>
    <x v="56"/>
    <d v="2026-06-01T00:00:00"/>
    <x v="6"/>
    <x v="0"/>
    <n v="113566.06"/>
    <n v="0"/>
    <n v="137018.43"/>
    <n v="977"/>
    <n v="0"/>
    <s v="Cascata"/>
    <n v="113566.06"/>
    <s v=""/>
  </r>
  <r>
    <s v="PRJ-0402"/>
    <s v="Revisão de RH 567"/>
    <x v="11"/>
    <x v="3"/>
    <x v="3"/>
    <x v="57"/>
    <d v="2026-04-03T00:00:00"/>
    <x v="193"/>
    <x v="0"/>
    <n v="50000"/>
    <n v="22847.49"/>
    <n v="42092.73"/>
    <n v="1000"/>
    <n v="457"/>
    <s v="Ágil"/>
    <n v="27152.51"/>
    <s v=""/>
  </r>
  <r>
    <s v="PRJ-0403"/>
    <s v="Automação de Supply 554"/>
    <x v="64"/>
    <x v="7"/>
    <x v="3"/>
    <x v="77"/>
    <d v="2026-12-31T00:00:00"/>
    <x v="112"/>
    <x v="3"/>
    <n v="79233.789999999994"/>
    <n v="83294.789999999994"/>
    <n v="71332.44"/>
    <n v="1104"/>
    <n v="1090"/>
    <s v="Híbrido"/>
    <n v="-4061"/>
    <n v="64"/>
  </r>
  <r>
    <s v="PRJ-0404"/>
    <s v="Expansão de Supply 863"/>
    <x v="94"/>
    <x v="4"/>
    <x v="2"/>
    <x v="159"/>
    <d v="2026-06-16T00:00:00"/>
    <x v="6"/>
    <x v="0"/>
    <n v="59707.41"/>
    <n v="0"/>
    <n v="24389.78"/>
    <n v="934"/>
    <n v="0"/>
    <s v="Cascata"/>
    <n v="59707.41"/>
    <s v=""/>
  </r>
  <r>
    <s v="PRJ-0405"/>
    <s v="Revisão de Atendimento 771"/>
    <x v="199"/>
    <x v="4"/>
    <x v="1"/>
    <x v="14"/>
    <d v="2026-09-24T00:00:00"/>
    <x v="121"/>
    <x v="0"/>
    <n v="232715.58"/>
    <n v="58770.09"/>
    <n v="421572.27"/>
    <n v="5209"/>
    <n v="1792"/>
    <s v="Ágil"/>
    <n v="173945.49"/>
    <s v=""/>
  </r>
  <r>
    <s v="PRJ-0406"/>
    <s v="Padronização de Financeiro 552"/>
    <x v="131"/>
    <x v="6"/>
    <x v="3"/>
    <x v="237"/>
    <d v="2026-03-24T00:00:00"/>
    <x v="228"/>
    <x v="0"/>
    <n v="61751.15"/>
    <n v="24907.78"/>
    <n v="127820.83"/>
    <n v="459"/>
    <n v="196"/>
    <s v="Híbrido"/>
    <n v="36843.370000000003"/>
    <s v=""/>
  </r>
  <r>
    <s v="PRJ-0407"/>
    <s v="Revisão de Segurança 456"/>
    <x v="203"/>
    <x v="4"/>
    <x v="0"/>
    <x v="238"/>
    <d v="2026-08-03T00:00:00"/>
    <x v="99"/>
    <x v="0"/>
    <n v="56413.760000000002"/>
    <n v="2653.43"/>
    <n v="114293.1"/>
    <n v="775"/>
    <n v="32"/>
    <s v="Cascata"/>
    <n v="53760.33"/>
    <s v=""/>
  </r>
  <r>
    <s v="PRJ-0408"/>
    <s v="Integração de Processos 201"/>
    <x v="43"/>
    <x v="9"/>
    <x v="0"/>
    <x v="239"/>
    <d v="2026-08-10T00:00:00"/>
    <x v="229"/>
    <x v="0"/>
    <n v="50000"/>
    <n v="15671.63"/>
    <n v="106008.04"/>
    <n v="1219"/>
    <n v="363"/>
    <s v="Ágil"/>
    <n v="34328.370000000003"/>
    <s v=""/>
  </r>
  <r>
    <s v="PRJ-0409"/>
    <s v="Implantação de Segurança 869"/>
    <x v="31"/>
    <x v="8"/>
    <x v="1"/>
    <x v="232"/>
    <d v="2026-12-31T00:00:00"/>
    <x v="230"/>
    <x v="0"/>
    <n v="55963.51"/>
    <n v="28512.23"/>
    <n v="115860.68"/>
    <n v="583"/>
    <n v="424"/>
    <s v="Híbrido"/>
    <n v="27451.280000000002"/>
    <s v=""/>
  </r>
  <r>
    <s v="PRJ-0410"/>
    <s v="Padronização de Supply 530"/>
    <x v="38"/>
    <x v="1"/>
    <x v="0"/>
    <x v="188"/>
    <d v="2026-12-31T00:00:00"/>
    <x v="6"/>
    <x v="0"/>
    <n v="86111.88"/>
    <n v="0"/>
    <n v="157821.1"/>
    <n v="261"/>
    <n v="0"/>
    <s v="Cascata"/>
    <n v="86111.88"/>
    <s v=""/>
  </r>
  <r>
    <s v="PRJ-0411"/>
    <s v="Integração de Segurança 169"/>
    <x v="91"/>
    <x v="9"/>
    <x v="2"/>
    <x v="240"/>
    <d v="2026-08-13T00:00:00"/>
    <x v="86"/>
    <x v="0"/>
    <n v="137979.21"/>
    <n v="106518.24"/>
    <n v="297748.38"/>
    <n v="1664"/>
    <n v="1288"/>
    <s v="Ágil"/>
    <n v="31460.969999999987"/>
    <s v=""/>
  </r>
  <r>
    <s v="PRJ-0412"/>
    <s v="Modernização de Operações 635"/>
    <x v="24"/>
    <x v="0"/>
    <x v="1"/>
    <x v="241"/>
    <d v="2026-06-13T00:00:00"/>
    <x v="6"/>
    <x v="0"/>
    <n v="170128.1"/>
    <n v="0"/>
    <n v="119008.81"/>
    <n v="1700"/>
    <n v="0"/>
    <s v="Híbrido"/>
    <n v="170128.1"/>
    <s v=""/>
  </r>
  <r>
    <s v="PRJ-0413"/>
    <s v="Otimização de Dados 054"/>
    <x v="182"/>
    <x v="7"/>
    <x v="1"/>
    <x v="190"/>
    <d v="2026-05-24T00:00:00"/>
    <x v="6"/>
    <x v="0"/>
    <n v="59699.360000000001"/>
    <n v="0"/>
    <n v="32514.27"/>
    <n v="5612"/>
    <n v="0"/>
    <s v="Cascata"/>
    <n v="59699.360000000001"/>
    <s v=""/>
  </r>
  <r>
    <s v="PRJ-0414"/>
    <s v="Revisão de Operações 198"/>
    <x v="74"/>
    <x v="3"/>
    <x v="3"/>
    <x v="189"/>
    <d v="2026-03-01T00:00:00"/>
    <x v="231"/>
    <x v="50"/>
    <n v="331822.63"/>
    <n v="300167.15000000002"/>
    <n v="243715.24"/>
    <n v="1606"/>
    <n v="1516"/>
    <s v="Ágil"/>
    <n v="31655.479999999981"/>
    <n v="63"/>
  </r>
  <r>
    <s v="PRJ-0415"/>
    <s v="Otimização de Relatórios 320"/>
    <x v="204"/>
    <x v="9"/>
    <x v="3"/>
    <x v="242"/>
    <d v="2026-12-01T00:00:00"/>
    <x v="33"/>
    <x v="3"/>
    <n v="105473.85"/>
    <n v="112069.75999999999"/>
    <n v="111746.08"/>
    <n v="956"/>
    <n v="788"/>
    <s v="Híbrido"/>
    <n v="-6595.9099999999889"/>
    <n v="82"/>
  </r>
  <r>
    <s v="PRJ-0416"/>
    <s v="Integração de Dados 839"/>
    <x v="40"/>
    <x v="4"/>
    <x v="3"/>
    <x v="125"/>
    <d v="2026-08-17T00:00:00"/>
    <x v="145"/>
    <x v="0"/>
    <n v="349765.27"/>
    <n v="19239.009999999998"/>
    <n v="233938.63"/>
    <n v="2220"/>
    <n v="115"/>
    <s v="Cascata"/>
    <n v="330526.26"/>
    <s v=""/>
  </r>
  <r>
    <s v="PRJ-0417"/>
    <s v="Expansão de Supply 167"/>
    <x v="205"/>
    <x v="3"/>
    <x v="1"/>
    <x v="217"/>
    <d v="2026-06-16T00:00:00"/>
    <x v="4"/>
    <x v="60"/>
    <n v="256895.61"/>
    <n v="222348.23"/>
    <n v="168232.66"/>
    <n v="1721"/>
    <n v="1569"/>
    <s v="Ágil"/>
    <n v="34547.379999999976"/>
    <n v="82"/>
  </r>
  <r>
    <s v="PRJ-0418"/>
    <s v="Revisão de Processos 076"/>
    <x v="49"/>
    <x v="9"/>
    <x v="1"/>
    <x v="197"/>
    <d v="2026-12-31T00:00:00"/>
    <x v="232"/>
    <x v="0"/>
    <n v="72651.41"/>
    <n v="12807.2"/>
    <n v="124999.55"/>
    <n v="1227"/>
    <n v="234"/>
    <s v="Híbrido"/>
    <n v="59844.210000000006"/>
    <s v=""/>
  </r>
  <r>
    <s v="PRJ-0419"/>
    <s v="Integração de Relatórios 201"/>
    <x v="140"/>
    <x v="4"/>
    <x v="1"/>
    <x v="243"/>
    <d v="2026-03-31T00:00:00"/>
    <x v="94"/>
    <x v="0"/>
    <n v="165688.72"/>
    <n v="73686.73"/>
    <n v="312923.92"/>
    <n v="2621"/>
    <n v="1261"/>
    <s v="Cascata"/>
    <n v="92001.99"/>
    <s v=""/>
  </r>
  <r>
    <s v="PRJ-0420"/>
    <s v="Modernização de Plataforma 148"/>
    <x v="71"/>
    <x v="8"/>
    <x v="1"/>
    <x v="161"/>
    <d v="2026-05-21T00:00:00"/>
    <x v="233"/>
    <x v="0"/>
    <n v="229537.63"/>
    <n v="87666.1"/>
    <n v="279855.52"/>
    <n v="1047"/>
    <n v="419"/>
    <s v="Ágil"/>
    <n v="141871.53"/>
    <s v=""/>
  </r>
  <r>
    <s v="PRJ-0421"/>
    <s v="Otimização de Atendimento 894"/>
    <x v="170"/>
    <x v="6"/>
    <x v="0"/>
    <x v="81"/>
    <d v="2026-05-03T00:00:00"/>
    <x v="234"/>
    <x v="0"/>
    <n v="98495.99"/>
    <n v="26946.639999999999"/>
    <n v="97864.67"/>
    <n v="1254"/>
    <n v="397"/>
    <s v="Híbrido"/>
    <n v="71549.350000000006"/>
    <s v=""/>
  </r>
  <r>
    <s v="PRJ-0422"/>
    <s v="Padronização de RH 486"/>
    <x v="206"/>
    <x v="1"/>
    <x v="1"/>
    <x v="190"/>
    <d v="2026-04-19T00:00:00"/>
    <x v="235"/>
    <x v="0"/>
    <n v="251200.79"/>
    <n v="164483.35999999999"/>
    <n v="384687.39"/>
    <n v="1040"/>
    <n v="778"/>
    <s v="Cascata"/>
    <n v="86717.430000000022"/>
    <s v=""/>
  </r>
  <r>
    <s v="PRJ-0423"/>
    <s v="Automação de Plataforma 303"/>
    <x v="207"/>
    <x v="3"/>
    <x v="1"/>
    <x v="94"/>
    <d v="2026-06-27T00:00:00"/>
    <x v="161"/>
    <x v="0"/>
    <n v="242788.52"/>
    <n v="184010.96"/>
    <n v="181994.99"/>
    <n v="1979"/>
    <n v="1378"/>
    <s v="Ágil"/>
    <n v="58777.56"/>
    <s v=""/>
  </r>
  <r>
    <s v="PRJ-0424"/>
    <s v="Implantação de Plataforma 368"/>
    <x v="119"/>
    <x v="2"/>
    <x v="3"/>
    <x v="227"/>
    <d v="2026-10-30T00:00:00"/>
    <x v="26"/>
    <x v="0"/>
    <n v="104967.95"/>
    <n v="95512.97"/>
    <n v="44619.43"/>
    <n v="854"/>
    <n v="584"/>
    <s v="Híbrido"/>
    <n v="9454.9799999999959"/>
    <s v=""/>
  </r>
  <r>
    <s v="PRJ-0425"/>
    <s v="Automação de Dados 935"/>
    <x v="124"/>
    <x v="4"/>
    <x v="0"/>
    <x v="244"/>
    <d v="2026-02-03T00:00:00"/>
    <x v="6"/>
    <x v="0"/>
    <n v="134900.53"/>
    <n v="0"/>
    <n v="158595.89000000001"/>
    <n v="505"/>
    <n v="0"/>
    <s v="Cascata"/>
    <n v="134900.53"/>
    <s v=""/>
  </r>
  <r>
    <s v="PRJ-0426"/>
    <s v="Integração de Dados 602"/>
    <x v="153"/>
    <x v="8"/>
    <x v="0"/>
    <x v="245"/>
    <d v="2026-12-31T00:00:00"/>
    <x v="236"/>
    <x v="0"/>
    <n v="116277.49"/>
    <n v="56898.42"/>
    <n v="83279.38"/>
    <n v="864"/>
    <n v="374"/>
    <s v="Ágil"/>
    <n v="59379.070000000007"/>
    <s v=""/>
  </r>
  <r>
    <s v="PRJ-0427"/>
    <s v="Revisão de Supply 231"/>
    <x v="67"/>
    <x v="7"/>
    <x v="0"/>
    <x v="161"/>
    <d v="2026-07-21T00:00:00"/>
    <x v="237"/>
    <x v="0"/>
    <n v="354776.61"/>
    <n v="161944.14000000001"/>
    <n v="577822.73"/>
    <n v="1485"/>
    <n v="772"/>
    <s v="Híbrido"/>
    <n v="192832.46999999997"/>
    <s v=""/>
  </r>
  <r>
    <s v="PRJ-0428"/>
    <s v="Expansão de Segurança 487"/>
    <x v="208"/>
    <x v="3"/>
    <x v="3"/>
    <x v="9"/>
    <d v="2026-08-04T00:00:00"/>
    <x v="170"/>
    <x v="0"/>
    <n v="94483.199999999997"/>
    <n v="34000.11"/>
    <n v="118362.77"/>
    <n v="369"/>
    <n v="119"/>
    <s v="Cascata"/>
    <n v="60483.09"/>
    <s v=""/>
  </r>
  <r>
    <s v="PRJ-0429"/>
    <s v="Integração de Atendimento 676"/>
    <x v="34"/>
    <x v="1"/>
    <x v="3"/>
    <x v="246"/>
    <d v="2026-07-31T00:00:00"/>
    <x v="238"/>
    <x v="0"/>
    <n v="50000"/>
    <n v="55816.93"/>
    <n v="27452.59"/>
    <n v="2251"/>
    <n v="2039"/>
    <s v="Ágil"/>
    <n v="-5816.93"/>
    <s v=""/>
  </r>
  <r>
    <s v="PRJ-0430"/>
    <s v="Integração de Atendimento 443"/>
    <x v="151"/>
    <x v="7"/>
    <x v="3"/>
    <x v="15"/>
    <d v="2026-05-10T00:00:00"/>
    <x v="203"/>
    <x v="0"/>
    <n v="64315.4"/>
    <n v="60989.06"/>
    <n v="94038.49"/>
    <n v="867"/>
    <n v="762"/>
    <s v="Híbrido"/>
    <n v="3326.3400000000038"/>
    <s v=""/>
  </r>
  <r>
    <s v="PRJ-0431"/>
    <s v="Padronização de RH 474"/>
    <x v="130"/>
    <x v="1"/>
    <x v="3"/>
    <x v="154"/>
    <d v="2026-04-10T00:00:00"/>
    <x v="239"/>
    <x v="0"/>
    <n v="75014.39"/>
    <n v="38615.61"/>
    <n v="116843.39"/>
    <n v="3419"/>
    <n v="1390"/>
    <s v="Cascata"/>
    <n v="36398.78"/>
    <s v=""/>
  </r>
  <r>
    <s v="PRJ-0432"/>
    <s v="Automação de Operações 098"/>
    <x v="24"/>
    <x v="0"/>
    <x v="3"/>
    <x v="247"/>
    <d v="2026-09-20T00:00:00"/>
    <x v="113"/>
    <x v="0"/>
    <n v="82938.240000000005"/>
    <n v="62301.58"/>
    <n v="111920.36"/>
    <n v="1396"/>
    <n v="971"/>
    <s v="Ágil"/>
    <n v="20636.660000000003"/>
    <s v=""/>
  </r>
  <r>
    <s v="PRJ-0433"/>
    <s v="Revisão de Financeiro 462"/>
    <x v="17"/>
    <x v="6"/>
    <x v="3"/>
    <x v="94"/>
    <d v="2026-05-30T00:00:00"/>
    <x v="240"/>
    <x v="0"/>
    <n v="50000"/>
    <n v="3088.92"/>
    <n v="17226.13"/>
    <n v="1313"/>
    <n v="67"/>
    <s v="Híbrido"/>
    <n v="46911.08"/>
    <s v=""/>
  </r>
  <r>
    <s v="PRJ-0434"/>
    <s v="Padronização de RH 473"/>
    <x v="30"/>
    <x v="6"/>
    <x v="3"/>
    <x v="42"/>
    <d v="2026-09-16T00:00:00"/>
    <x v="1"/>
    <x v="0"/>
    <n v="1169295.1499999999"/>
    <n v="788551.62"/>
    <n v="2222458.0099999998"/>
    <n v="1584"/>
    <n v="1171"/>
    <s v="Cascata"/>
    <n v="380743.52999999991"/>
    <s v=""/>
  </r>
  <r>
    <s v="PRJ-0435"/>
    <s v="Otimização de Atendimento 158"/>
    <x v="199"/>
    <x v="4"/>
    <x v="0"/>
    <x v="248"/>
    <d v="2026-04-29T00:00:00"/>
    <x v="241"/>
    <x v="0"/>
    <n v="155801.32999999999"/>
    <n v="37788.93"/>
    <n v="293325.43"/>
    <n v="335"/>
    <n v="112"/>
    <s v="Ágil"/>
    <n v="118012.4"/>
    <s v=""/>
  </r>
  <r>
    <s v="PRJ-0436"/>
    <s v="Otimização de Financeiro 786"/>
    <x v="109"/>
    <x v="5"/>
    <x v="0"/>
    <x v="249"/>
    <d v="2026-02-19T00:00:00"/>
    <x v="234"/>
    <x v="0"/>
    <n v="162941.70000000001"/>
    <n v="64904.23"/>
    <n v="198214.8"/>
    <n v="528"/>
    <n v="197"/>
    <s v="Híbrido"/>
    <n v="98037.47"/>
    <s v=""/>
  </r>
  <r>
    <s v="PRJ-0437"/>
    <s v="Automação de Processos 426"/>
    <x v="209"/>
    <x v="2"/>
    <x v="1"/>
    <x v="2"/>
    <d v="2026-07-14T00:00:00"/>
    <x v="6"/>
    <x v="0"/>
    <n v="50000"/>
    <n v="0"/>
    <n v="19729.2"/>
    <n v="3079"/>
    <n v="0"/>
    <s v="Cascata"/>
    <n v="50000"/>
    <s v=""/>
  </r>
  <r>
    <s v="PRJ-0438"/>
    <s v="Expansão de Segurança 470"/>
    <x v="210"/>
    <x v="2"/>
    <x v="3"/>
    <x v="27"/>
    <d v="2026-11-11T00:00:00"/>
    <x v="242"/>
    <x v="0"/>
    <n v="75841.2"/>
    <n v="3937.35"/>
    <n v="158296.97"/>
    <n v="1363"/>
    <n v="81"/>
    <s v="Ágil"/>
    <n v="71903.849999999991"/>
    <s v=""/>
  </r>
  <r>
    <s v="PRJ-0439"/>
    <s v="Automação de Supply 180"/>
    <x v="59"/>
    <x v="8"/>
    <x v="1"/>
    <x v="191"/>
    <d v="2026-05-13T00:00:00"/>
    <x v="74"/>
    <x v="0"/>
    <n v="455969.63"/>
    <n v="390622.27"/>
    <n v="460116.22"/>
    <n v="1832"/>
    <n v="1097"/>
    <s v="Híbrido"/>
    <n v="65347.359999999986"/>
    <s v=""/>
  </r>
  <r>
    <s v="PRJ-0440"/>
    <s v="Integração de Financeiro 776"/>
    <x v="39"/>
    <x v="0"/>
    <x v="1"/>
    <x v="220"/>
    <d v="2026-06-14T00:00:00"/>
    <x v="243"/>
    <x v="0"/>
    <n v="51441.23"/>
    <n v="37867.08"/>
    <n v="111909.89"/>
    <n v="1506"/>
    <n v="1219"/>
    <s v="Cascata"/>
    <n v="13574.150000000001"/>
    <s v=""/>
  </r>
  <r>
    <s v="PRJ-0441"/>
    <s v="Expansão de Atendimento 769"/>
    <x v="211"/>
    <x v="0"/>
    <x v="1"/>
    <x v="89"/>
    <d v="2026-12-31T00:00:00"/>
    <x v="244"/>
    <x v="0"/>
    <n v="126869.25"/>
    <n v="74722.899999999994"/>
    <n v="204534.68"/>
    <n v="1086"/>
    <n v="659"/>
    <s v="Ágil"/>
    <n v="52146.350000000006"/>
    <s v=""/>
  </r>
  <r>
    <s v="PRJ-0442"/>
    <s v="Padronização de Plataforma 977"/>
    <x v="133"/>
    <x v="2"/>
    <x v="1"/>
    <x v="170"/>
    <d v="2026-12-31T00:00:00"/>
    <x v="245"/>
    <x v="3"/>
    <n v="1026654.56"/>
    <n v="997810.05"/>
    <n v="662639.9"/>
    <n v="210"/>
    <n v="207"/>
    <s v="Híbrido"/>
    <n v="28844.510000000009"/>
    <n v="3"/>
  </r>
  <r>
    <s v="PRJ-0443"/>
    <s v="Integração de Atendimento 293"/>
    <x v="122"/>
    <x v="5"/>
    <x v="1"/>
    <x v="167"/>
    <d v="2026-12-31T00:00:00"/>
    <x v="36"/>
    <x v="0"/>
    <n v="234657.69"/>
    <n v="112639.19"/>
    <n v="275533.88"/>
    <n v="2319"/>
    <n v="828"/>
    <s v="Cascata"/>
    <n v="122018.5"/>
    <s v=""/>
  </r>
  <r>
    <s v="PRJ-0444"/>
    <s v="Expansão de Financeiro 875"/>
    <x v="52"/>
    <x v="6"/>
    <x v="0"/>
    <x v="250"/>
    <d v="2026-09-12T00:00:00"/>
    <x v="246"/>
    <x v="62"/>
    <n v="272897.7"/>
    <n v="292811.02"/>
    <n v="214617.73"/>
    <n v="2808"/>
    <n v="3368"/>
    <s v="Ágil"/>
    <n v="-19913.320000000007"/>
    <n v="49"/>
  </r>
  <r>
    <s v="PRJ-0445"/>
    <s v="Integração de Processos 014"/>
    <x v="159"/>
    <x v="1"/>
    <x v="3"/>
    <x v="34"/>
    <d v="2026-06-17T00:00:00"/>
    <x v="247"/>
    <x v="0"/>
    <n v="54726.1"/>
    <n v="54162.03"/>
    <n v="111435.89"/>
    <n v="764"/>
    <n v="678"/>
    <s v="Híbrido"/>
    <n v="564.06999999999971"/>
    <s v=""/>
  </r>
  <r>
    <s v="PRJ-0446"/>
    <s v="Integração de Financeiro 981"/>
    <x v="171"/>
    <x v="7"/>
    <x v="2"/>
    <x v="49"/>
    <d v="2026-12-27T00:00:00"/>
    <x v="248"/>
    <x v="63"/>
    <n v="50000"/>
    <n v="28482.639999999999"/>
    <n v="16212.72"/>
    <n v="1755"/>
    <n v="861"/>
    <s v="Cascata"/>
    <n v="21517.360000000001"/>
    <n v="53"/>
  </r>
  <r>
    <s v="PRJ-0447"/>
    <s v="Padronização de Relatórios 261"/>
    <x v="6"/>
    <x v="4"/>
    <x v="3"/>
    <x v="251"/>
    <d v="2026-06-23T00:00:00"/>
    <x v="6"/>
    <x v="0"/>
    <n v="407645.55"/>
    <n v="0"/>
    <n v="586450.01"/>
    <n v="478"/>
    <n v="0"/>
    <s v="Ágil"/>
    <n v="407645.55"/>
    <s v=""/>
  </r>
  <r>
    <s v="PRJ-0448"/>
    <s v="Implantação de Dados 991"/>
    <x v="153"/>
    <x v="1"/>
    <x v="1"/>
    <x v="77"/>
    <d v="2026-12-28T00:00:00"/>
    <x v="102"/>
    <x v="0"/>
    <n v="485393.75"/>
    <n v="402008.06"/>
    <n v="265310.21999999997"/>
    <n v="1211"/>
    <n v="775"/>
    <s v="Híbrido"/>
    <n v="83385.69"/>
    <s v=""/>
  </r>
  <r>
    <s v="PRJ-0449"/>
    <s v="Implantação de Processos 173"/>
    <x v="43"/>
    <x v="1"/>
    <x v="0"/>
    <x v="222"/>
    <d v="2026-12-31T00:00:00"/>
    <x v="232"/>
    <x v="3"/>
    <n v="64288.4"/>
    <n v="67652.210000000006"/>
    <n v="87731.97"/>
    <n v="1151"/>
    <n v="960"/>
    <s v="Cascata"/>
    <n v="-3363.8100000000049"/>
    <n v="42"/>
  </r>
  <r>
    <s v="PRJ-0450"/>
    <s v="Padronização de Operações 834"/>
    <x v="184"/>
    <x v="0"/>
    <x v="0"/>
    <x v="53"/>
    <d v="2026-10-12T00:00:00"/>
    <x v="249"/>
    <x v="0"/>
    <n v="98772.72"/>
    <n v="94914.63"/>
    <n v="95498.77"/>
    <n v="1750"/>
    <n v="1289"/>
    <s v="Ágil"/>
    <n v="3858.0899999999965"/>
    <s v=""/>
  </r>
  <r>
    <s v="PRJ-0451"/>
    <s v="Revisão de Processos 600"/>
    <x v="193"/>
    <x v="6"/>
    <x v="0"/>
    <x v="112"/>
    <d v="2026-12-31T00:00:00"/>
    <x v="35"/>
    <x v="0"/>
    <n v="108452.26"/>
    <n v="67053.67"/>
    <n v="128323.33"/>
    <n v="2170"/>
    <n v="1448"/>
    <s v="Híbrido"/>
    <n v="41398.589999999997"/>
    <s v=""/>
  </r>
  <r>
    <s v="PRJ-0452"/>
    <s v="Padronização de Supply 619"/>
    <x v="106"/>
    <x v="7"/>
    <x v="1"/>
    <x v="252"/>
    <d v="2026-03-11T00:00:00"/>
    <x v="250"/>
    <x v="13"/>
    <n v="419682.35"/>
    <n v="506825.12"/>
    <n v="859406.54"/>
    <n v="669"/>
    <n v="780"/>
    <s v="Cascata"/>
    <n v="-87142.770000000019"/>
    <n v="55"/>
  </r>
  <r>
    <s v="PRJ-0453"/>
    <s v="Automação de Processos 617"/>
    <x v="212"/>
    <x v="2"/>
    <x v="2"/>
    <x v="250"/>
    <d v="2026-10-31T00:00:00"/>
    <x v="179"/>
    <x v="19"/>
    <n v="50000"/>
    <n v="56002.6"/>
    <n v="54657.59"/>
    <n v="3085"/>
    <n v="3572"/>
    <s v="Ágil"/>
    <n v="-6002.5999999999985"/>
    <n v="118"/>
  </r>
  <r>
    <s v="PRJ-0454"/>
    <s v="Padronização de Segurança 622"/>
    <x v="9"/>
    <x v="8"/>
    <x v="3"/>
    <x v="173"/>
    <d v="2026-09-09T00:00:00"/>
    <x v="249"/>
    <x v="0"/>
    <n v="113229.89"/>
    <n v="85275.22"/>
    <n v="74393.94"/>
    <n v="769"/>
    <n v="550"/>
    <s v="Híbrido"/>
    <n v="27954.67"/>
    <s v=""/>
  </r>
  <r>
    <s v="PRJ-0455"/>
    <s v="Automação de RH 816"/>
    <x v="176"/>
    <x v="1"/>
    <x v="3"/>
    <x v="44"/>
    <d v="2026-06-14T00:00:00"/>
    <x v="235"/>
    <x v="64"/>
    <n v="118303.74"/>
    <n v="133239.48000000001"/>
    <n v="150899.44"/>
    <n v="3585"/>
    <n v="3733"/>
    <s v="Cascata"/>
    <n v="-14935.740000000005"/>
    <n v="96"/>
  </r>
  <r>
    <s v="PRJ-0456"/>
    <s v="Implantação de Segurança 737"/>
    <x v="150"/>
    <x v="4"/>
    <x v="1"/>
    <x v="253"/>
    <d v="2026-07-06T00:00:00"/>
    <x v="7"/>
    <x v="0"/>
    <n v="50000"/>
    <n v="35337.599999999999"/>
    <n v="57752.3"/>
    <n v="1019"/>
    <n v="726"/>
    <s v="Ágil"/>
    <n v="14662.400000000001"/>
    <s v=""/>
  </r>
  <r>
    <s v="PRJ-0457"/>
    <s v="Expansão de Segurança 229"/>
    <x v="100"/>
    <x v="0"/>
    <x v="2"/>
    <x v="55"/>
    <d v="2026-08-08T00:00:00"/>
    <x v="251"/>
    <x v="0"/>
    <n v="189822.55"/>
    <n v="151017.32999999999"/>
    <n v="228980.03"/>
    <n v="1442"/>
    <n v="1159"/>
    <s v="Híbrido"/>
    <n v="38805.22"/>
    <s v=""/>
  </r>
  <r>
    <s v="PRJ-0458"/>
    <s v="Integração de Financeiro 434"/>
    <x v="171"/>
    <x v="8"/>
    <x v="1"/>
    <x v="93"/>
    <d v="2026-06-25T00:00:00"/>
    <x v="16"/>
    <x v="0"/>
    <n v="112160.55"/>
    <n v="88072.1"/>
    <n v="156796.69"/>
    <n v="3586"/>
    <n v="2448"/>
    <s v="Cascata"/>
    <n v="24088.449999999997"/>
    <s v=""/>
  </r>
  <r>
    <s v="PRJ-0459"/>
    <s v="Revisão de Atendimento 515"/>
    <x v="16"/>
    <x v="5"/>
    <x v="1"/>
    <x v="254"/>
    <d v="2026-08-03T00:00:00"/>
    <x v="252"/>
    <x v="65"/>
    <n v="110530.2"/>
    <n v="123931.88"/>
    <n v="120192.38"/>
    <n v="1835"/>
    <n v="1491"/>
    <s v="Ágil"/>
    <n v="-13401.680000000008"/>
    <n v="83"/>
  </r>
  <r>
    <s v="PRJ-0460"/>
    <s v="Automação de RH 745"/>
    <x v="81"/>
    <x v="1"/>
    <x v="3"/>
    <x v="255"/>
    <d v="2026-10-27T00:00:00"/>
    <x v="253"/>
    <x v="0"/>
    <n v="109882.48"/>
    <n v="80638.91"/>
    <n v="82459.520000000004"/>
    <n v="6335"/>
    <n v="5501"/>
    <s v="Híbrido"/>
    <n v="29243.569999999992"/>
    <s v=""/>
  </r>
  <r>
    <s v="PRJ-0461"/>
    <s v="Modernização de Relatórios 332"/>
    <x v="138"/>
    <x v="5"/>
    <x v="3"/>
    <x v="247"/>
    <d v="2026-10-16T00:00:00"/>
    <x v="254"/>
    <x v="0"/>
    <n v="89513.19"/>
    <n v="70674.820000000007"/>
    <n v="50855.99"/>
    <n v="3314"/>
    <n v="2257"/>
    <s v="Cascata"/>
    <n v="18838.369999999995"/>
    <s v=""/>
  </r>
  <r>
    <s v="PRJ-0462"/>
    <s v="Expansão de Relatórios 949"/>
    <x v="213"/>
    <x v="8"/>
    <x v="0"/>
    <x v="86"/>
    <d v="2026-08-19T00:00:00"/>
    <x v="65"/>
    <x v="0"/>
    <n v="55193.83"/>
    <n v="36445.49"/>
    <n v="33157.019999999997"/>
    <n v="2051"/>
    <n v="1608"/>
    <s v="Ágil"/>
    <n v="18748.340000000004"/>
    <s v=""/>
  </r>
  <r>
    <s v="PRJ-0463"/>
    <s v="Expansão de Plataforma 797"/>
    <x v="183"/>
    <x v="2"/>
    <x v="1"/>
    <x v="52"/>
    <d v="2026-12-31T00:00:00"/>
    <x v="102"/>
    <x v="66"/>
    <n v="335798.87"/>
    <n v="52360.35"/>
    <n v="499309.84"/>
    <n v="1975"/>
    <n v="249"/>
    <s v="Híbrido"/>
    <n v="283438.52"/>
    <n v="35"/>
  </r>
  <r>
    <s v="PRJ-0464"/>
    <s v="Automação de Financeiro 496"/>
    <x v="26"/>
    <x v="8"/>
    <x v="3"/>
    <x v="182"/>
    <d v="2026-12-31T00:00:00"/>
    <x v="6"/>
    <x v="0"/>
    <n v="50000"/>
    <n v="0"/>
    <n v="47399.55"/>
    <n v="543"/>
    <n v="0"/>
    <s v="Cascata"/>
    <n v="50000"/>
    <s v=""/>
  </r>
  <r>
    <s v="PRJ-0465"/>
    <s v="Modernização de Dados 858"/>
    <x v="93"/>
    <x v="1"/>
    <x v="1"/>
    <x v="256"/>
    <d v="2026-11-02T00:00:00"/>
    <x v="182"/>
    <x v="3"/>
    <n v="73832.929999999993"/>
    <n v="82021.42"/>
    <n v="124153.71"/>
    <n v="2885"/>
    <n v="2332"/>
    <s v="Ágil"/>
    <n v="-8188.4900000000052"/>
    <n v="141"/>
  </r>
  <r>
    <s v="PRJ-0466"/>
    <s v="Implantação de Processos 087"/>
    <x v="212"/>
    <x v="0"/>
    <x v="2"/>
    <x v="186"/>
    <d v="2026-07-02T00:00:00"/>
    <x v="255"/>
    <x v="0"/>
    <n v="106287.34"/>
    <n v="32358.880000000001"/>
    <n v="214837.91"/>
    <n v="2738"/>
    <n v="1032"/>
    <s v="Híbrido"/>
    <n v="73928.459999999992"/>
    <s v=""/>
  </r>
  <r>
    <s v="PRJ-0467"/>
    <s v="Integração de Plataforma 679"/>
    <x v="44"/>
    <x v="8"/>
    <x v="2"/>
    <x v="24"/>
    <d v="2026-09-19T00:00:00"/>
    <x v="140"/>
    <x v="67"/>
    <n v="71935.11"/>
    <n v="0"/>
    <n v="43214.58"/>
    <n v="5117"/>
    <n v="0"/>
    <s v="Cascata"/>
    <n v="71935.11"/>
    <n v="33"/>
  </r>
  <r>
    <s v="PRJ-0468"/>
    <s v="Implantação de Financeiro 666"/>
    <x v="142"/>
    <x v="9"/>
    <x v="1"/>
    <x v="150"/>
    <d v="2026-12-31T00:00:00"/>
    <x v="256"/>
    <x v="0"/>
    <n v="134566.51"/>
    <n v="117007.18"/>
    <n v="43857.34"/>
    <n v="2142"/>
    <n v="1587"/>
    <s v="Ágil"/>
    <n v="17559.330000000016"/>
    <s v=""/>
  </r>
  <r>
    <s v="PRJ-0469"/>
    <s v="Automação de Financeiro 842"/>
    <x v="17"/>
    <x v="7"/>
    <x v="2"/>
    <x v="257"/>
    <d v="2026-06-18T00:00:00"/>
    <x v="138"/>
    <x v="68"/>
    <n v="50000"/>
    <n v="49656.82"/>
    <n v="15802.89"/>
    <n v="1193"/>
    <n v="1173"/>
    <s v="Híbrido"/>
    <n v="343.18000000000029"/>
    <n v="59"/>
  </r>
  <r>
    <s v="PRJ-0470"/>
    <s v="Implantação de Relatórios 890"/>
    <x v="60"/>
    <x v="3"/>
    <x v="1"/>
    <x v="69"/>
    <d v="2026-06-15T00:00:00"/>
    <x v="6"/>
    <x v="0"/>
    <n v="109175.2"/>
    <n v="0"/>
    <n v="203396.79"/>
    <n v="2623"/>
    <n v="0"/>
    <s v="Cascata"/>
    <n v="109175.2"/>
    <s v=""/>
  </r>
  <r>
    <s v="PRJ-0471"/>
    <s v="Implantação de Operações 102"/>
    <x v="112"/>
    <x v="9"/>
    <x v="3"/>
    <x v="48"/>
    <d v="2026-06-04T00:00:00"/>
    <x v="4"/>
    <x v="0"/>
    <n v="96199.41"/>
    <n v="91508.3"/>
    <n v="75961.14"/>
    <n v="856"/>
    <n v="861"/>
    <s v="Ágil"/>
    <n v="4691.1100000000006"/>
    <s v=""/>
  </r>
  <r>
    <s v="PRJ-0472"/>
    <s v="Automação de Relatórios 147"/>
    <x v="7"/>
    <x v="2"/>
    <x v="1"/>
    <x v="258"/>
    <d v="2026-12-31T00:00:00"/>
    <x v="230"/>
    <x v="0"/>
    <n v="50000"/>
    <n v="33663.29"/>
    <n v="66061.91"/>
    <n v="1113"/>
    <n v="543"/>
    <s v="Híbrido"/>
    <n v="16336.71"/>
    <s v=""/>
  </r>
  <r>
    <s v="PRJ-0473"/>
    <s v="Implantação de Financeiro 534"/>
    <x v="17"/>
    <x v="8"/>
    <x v="2"/>
    <x v="3"/>
    <d v="2026-12-31T00:00:00"/>
    <x v="157"/>
    <x v="0"/>
    <n v="146723.31"/>
    <n v="86159.07"/>
    <n v="258464.27"/>
    <n v="902"/>
    <n v="545"/>
    <s v="Cascata"/>
    <n v="60564.239999999991"/>
    <s v=""/>
  </r>
  <r>
    <s v="PRJ-0474"/>
    <s v="Expansão de Dados 955"/>
    <x v="0"/>
    <x v="0"/>
    <x v="3"/>
    <x v="7"/>
    <d v="2026-05-17T00:00:00"/>
    <x v="6"/>
    <x v="0"/>
    <n v="71545.850000000006"/>
    <n v="0"/>
    <n v="143978.32999999999"/>
    <n v="667"/>
    <n v="0"/>
    <s v="Ágil"/>
    <n v="71545.850000000006"/>
    <s v=""/>
  </r>
  <r>
    <s v="PRJ-0475"/>
    <s v="Otimização de Operações 460"/>
    <x v="139"/>
    <x v="7"/>
    <x v="3"/>
    <x v="259"/>
    <d v="2026-10-25T00:00:00"/>
    <x v="101"/>
    <x v="69"/>
    <n v="131474.12"/>
    <n v="155485.18"/>
    <n v="76989.95"/>
    <n v="2489"/>
    <n v="2970"/>
    <s v="Híbrido"/>
    <n v="-24011.059999999998"/>
    <n v="127"/>
  </r>
  <r>
    <s v="PRJ-0476"/>
    <s v="Implantação de RH 301"/>
    <x v="2"/>
    <x v="6"/>
    <x v="1"/>
    <x v="221"/>
    <d v="2026-10-19T00:00:00"/>
    <x v="160"/>
    <x v="0"/>
    <n v="204601.99"/>
    <n v="93247.33"/>
    <n v="355841.98"/>
    <n v="1305"/>
    <n v="726"/>
    <s v="Cascata"/>
    <n v="111354.65999999999"/>
    <s v=""/>
  </r>
  <r>
    <s v="PRJ-0477"/>
    <s v="Revisão de Plataforma 006"/>
    <x v="65"/>
    <x v="9"/>
    <x v="1"/>
    <x v="260"/>
    <d v="2026-03-26T00:00:00"/>
    <x v="68"/>
    <x v="45"/>
    <n v="139942.73000000001"/>
    <n v="155603.76"/>
    <n v="102719.24"/>
    <n v="1276"/>
    <n v="1484"/>
    <s v="Ágil"/>
    <n v="-15661.029999999999"/>
    <n v="83"/>
  </r>
  <r>
    <s v="PRJ-0478"/>
    <s v="Implantação de Supply 439"/>
    <x v="94"/>
    <x v="3"/>
    <x v="1"/>
    <x v="5"/>
    <d v="2026-06-13T00:00:00"/>
    <x v="257"/>
    <x v="0"/>
    <n v="124050.59"/>
    <n v="58976.29"/>
    <n v="122943.87"/>
    <n v="4123"/>
    <n v="1429"/>
    <s v="Híbrido"/>
    <n v="65074.299999999996"/>
    <s v=""/>
  </r>
  <r>
    <s v="PRJ-0479"/>
    <s v="Revisão de Processos 165"/>
    <x v="193"/>
    <x v="8"/>
    <x v="2"/>
    <x v="261"/>
    <d v="2026-12-02T00:00:00"/>
    <x v="58"/>
    <x v="0"/>
    <n v="64656.41"/>
    <n v="63421.72"/>
    <n v="80558.75"/>
    <n v="1688"/>
    <n v="1429"/>
    <s v="Cascata"/>
    <n v="1234.6900000000023"/>
    <s v=""/>
  </r>
  <r>
    <s v="PRJ-0480"/>
    <s v="Revisão de Dados 014"/>
    <x v="181"/>
    <x v="8"/>
    <x v="3"/>
    <x v="262"/>
    <d v="2026-10-17T00:00:00"/>
    <x v="169"/>
    <x v="0"/>
    <n v="50000"/>
    <n v="24667.68"/>
    <n v="24402.02"/>
    <n v="3980"/>
    <n v="2296"/>
    <s v="Ágil"/>
    <n v="25332.32"/>
    <s v=""/>
  </r>
  <r>
    <s v="PRJ-0481"/>
    <s v="Modernização de Atendimento 718"/>
    <x v="196"/>
    <x v="2"/>
    <x v="2"/>
    <x v="263"/>
    <d v="2026-11-14T00:00:00"/>
    <x v="242"/>
    <x v="0"/>
    <n v="104876.51"/>
    <n v="67519.679999999993"/>
    <n v="98478.43"/>
    <n v="1449"/>
    <n v="781"/>
    <s v="Híbrido"/>
    <n v="37356.83"/>
    <s v=""/>
  </r>
  <r>
    <s v="PRJ-0482"/>
    <s v="Expansão de Processos 632"/>
    <x v="128"/>
    <x v="6"/>
    <x v="0"/>
    <x v="186"/>
    <d v="2026-04-17T00:00:00"/>
    <x v="87"/>
    <x v="0"/>
    <n v="62278.89"/>
    <n v="63721.2"/>
    <n v="48261.29"/>
    <n v="237"/>
    <n v="231"/>
    <s v="Cascata"/>
    <n v="-1442.3099999999977"/>
    <s v=""/>
  </r>
  <r>
    <s v="PRJ-0483"/>
    <s v="Revisão de Financeiro 253"/>
    <x v="192"/>
    <x v="9"/>
    <x v="3"/>
    <x v="264"/>
    <d v="2026-09-18T00:00:00"/>
    <x v="253"/>
    <x v="0"/>
    <n v="50000"/>
    <n v="60781.14"/>
    <n v="101005.57"/>
    <n v="2997"/>
    <n v="2931"/>
    <s v="Ágil"/>
    <n v="-10781.14"/>
    <s v=""/>
  </r>
  <r>
    <s v="PRJ-0484"/>
    <s v="Modernização de Processos 700"/>
    <x v="214"/>
    <x v="5"/>
    <x v="1"/>
    <x v="118"/>
    <d v="2026-09-05T00:00:00"/>
    <x v="258"/>
    <x v="0"/>
    <n v="98415.81"/>
    <n v="7319.17"/>
    <n v="105861.09"/>
    <n v="1051"/>
    <n v="66"/>
    <s v="Híbrido"/>
    <n v="91096.639999999999"/>
    <s v=""/>
  </r>
  <r>
    <s v="PRJ-0485"/>
    <s v="Modernização de Processos 601"/>
    <x v="155"/>
    <x v="2"/>
    <x v="0"/>
    <x v="54"/>
    <d v="2026-10-04T00:00:00"/>
    <x v="170"/>
    <x v="0"/>
    <n v="147770.64000000001"/>
    <n v="56040.56"/>
    <n v="149226.29"/>
    <n v="2379"/>
    <n v="931"/>
    <s v="Cascata"/>
    <n v="91730.080000000016"/>
    <s v=""/>
  </r>
  <r>
    <s v="PRJ-0486"/>
    <s v="Revisão de Supply 460"/>
    <x v="205"/>
    <x v="7"/>
    <x v="1"/>
    <x v="131"/>
    <d v="2026-07-15T00:00:00"/>
    <x v="138"/>
    <x v="0"/>
    <n v="153047.10999999999"/>
    <n v="71311.009999999995"/>
    <n v="285467.03999999998"/>
    <n v="2974"/>
    <n v="1240"/>
    <s v="Ágil"/>
    <n v="81736.099999999991"/>
    <s v=""/>
  </r>
  <r>
    <s v="PRJ-0487"/>
    <s v="Expansão de RH 702"/>
    <x v="45"/>
    <x v="0"/>
    <x v="3"/>
    <x v="265"/>
    <d v="2026-12-25T00:00:00"/>
    <x v="259"/>
    <x v="0"/>
    <n v="50000"/>
    <n v="5225.4399999999996"/>
    <n v="56440.37"/>
    <n v="1220"/>
    <n v="119"/>
    <s v="Híbrido"/>
    <n v="44774.559999999998"/>
    <s v=""/>
  </r>
  <r>
    <s v="PRJ-0488"/>
    <s v="Padronização de Dados 725"/>
    <x v="82"/>
    <x v="0"/>
    <x v="3"/>
    <x v="266"/>
    <d v="2026-12-31T00:00:00"/>
    <x v="136"/>
    <x v="0"/>
    <n v="177828.89"/>
    <n v="88552.320000000007"/>
    <n v="186805.96"/>
    <n v="291"/>
    <n v="128"/>
    <s v="Cascata"/>
    <n v="89276.57"/>
    <s v=""/>
  </r>
  <r>
    <s v="PRJ-0489"/>
    <s v="Integração de Segurança 548"/>
    <x v="21"/>
    <x v="8"/>
    <x v="3"/>
    <x v="267"/>
    <d v="2026-12-31T00:00:00"/>
    <x v="25"/>
    <x v="0"/>
    <n v="50000"/>
    <n v="43793.599999999999"/>
    <n v="20560.98"/>
    <n v="3658"/>
    <n v="3450"/>
    <s v="Ágil"/>
    <n v="6206.4000000000015"/>
    <s v=""/>
  </r>
  <r>
    <s v="PRJ-0490"/>
    <s v="Implantação de Relatórios 263"/>
    <x v="154"/>
    <x v="2"/>
    <x v="3"/>
    <x v="237"/>
    <d v="2026-04-14T00:00:00"/>
    <x v="226"/>
    <x v="70"/>
    <n v="134373.10999999999"/>
    <n v="124568.26"/>
    <n v="65234.87"/>
    <n v="571"/>
    <n v="503"/>
    <s v="Híbrido"/>
    <n v="9804.8499999999913"/>
    <n v="54"/>
  </r>
  <r>
    <s v="PRJ-0491"/>
    <s v="Padronização de Segurança 748"/>
    <x v="215"/>
    <x v="1"/>
    <x v="0"/>
    <x v="141"/>
    <d v="2026-12-31T00:00:00"/>
    <x v="50"/>
    <x v="71"/>
    <n v="115039.47"/>
    <n v="123001.19"/>
    <n v="188112.86"/>
    <n v="1132"/>
    <n v="1092"/>
    <s v="Cascata"/>
    <n v="-7961.7200000000012"/>
    <n v="29"/>
  </r>
  <r>
    <s v="PRJ-0492"/>
    <s v="Integração de Plataforma 147"/>
    <x v="216"/>
    <x v="5"/>
    <x v="1"/>
    <x v="109"/>
    <d v="2026-12-31T00:00:00"/>
    <x v="33"/>
    <x v="0"/>
    <n v="50000"/>
    <n v="39496.68"/>
    <n v="102538.48"/>
    <n v="2850"/>
    <n v="1545"/>
    <s v="Ágil"/>
    <n v="10503.32"/>
    <s v=""/>
  </r>
  <r>
    <s v="PRJ-0493"/>
    <s v="Integração de Plataforma 275"/>
    <x v="14"/>
    <x v="6"/>
    <x v="2"/>
    <x v="268"/>
    <d v="2026-04-11T00:00:00"/>
    <x v="188"/>
    <x v="0"/>
    <n v="50000"/>
    <n v="49085.95"/>
    <n v="25256.43"/>
    <n v="2778"/>
    <n v="1959"/>
    <s v="Híbrido"/>
    <n v="914.05000000000291"/>
    <s v=""/>
  </r>
  <r>
    <s v="PRJ-0494"/>
    <s v="Otimização de Dados 709"/>
    <x v="101"/>
    <x v="9"/>
    <x v="2"/>
    <x v="269"/>
    <d v="2026-04-16T00:00:00"/>
    <x v="260"/>
    <x v="0"/>
    <n v="123802.46"/>
    <n v="60061.31"/>
    <n v="157197.70000000001"/>
    <n v="1829"/>
    <n v="1328"/>
    <s v="Cascata"/>
    <n v="63741.150000000009"/>
    <s v=""/>
  </r>
  <r>
    <s v="PRJ-0495"/>
    <s v="Expansão de Plataforma 504"/>
    <x v="133"/>
    <x v="0"/>
    <x v="0"/>
    <x v="196"/>
    <d v="2026-05-09T00:00:00"/>
    <x v="115"/>
    <x v="0"/>
    <n v="50000"/>
    <n v="16854.650000000001"/>
    <n v="40714.089999999997"/>
    <n v="1593"/>
    <n v="583"/>
    <s v="Ágil"/>
    <n v="33145.35"/>
    <s v=""/>
  </r>
  <r>
    <s v="PRJ-0496"/>
    <s v="Automação de Financeiro 154"/>
    <x v="217"/>
    <x v="6"/>
    <x v="2"/>
    <x v="115"/>
    <d v="2026-08-09T00:00:00"/>
    <x v="6"/>
    <x v="0"/>
    <n v="97540"/>
    <n v="0"/>
    <n v="67452.83"/>
    <n v="941"/>
    <n v="0"/>
    <s v="Híbrido"/>
    <n v="97540"/>
    <s v=""/>
  </r>
  <r>
    <s v="PRJ-0497"/>
    <s v="Modernização de Operações 438"/>
    <x v="89"/>
    <x v="8"/>
    <x v="0"/>
    <x v="270"/>
    <d v="2026-04-14T00:00:00"/>
    <x v="10"/>
    <x v="0"/>
    <n v="320381.59999999998"/>
    <n v="176810.22"/>
    <n v="377722.41"/>
    <n v="2132"/>
    <n v="1079"/>
    <s v="Cascata"/>
    <n v="143571.37999999998"/>
    <s v=""/>
  </r>
  <r>
    <s v="PRJ-0498"/>
    <s v="Padronização de Dados 547"/>
    <x v="87"/>
    <x v="0"/>
    <x v="2"/>
    <x v="259"/>
    <d v="2026-10-18T00:00:00"/>
    <x v="261"/>
    <x v="0"/>
    <n v="142989.96"/>
    <n v="100731.37"/>
    <n v="191887.06"/>
    <n v="1521"/>
    <n v="1386"/>
    <s v="Ágil"/>
    <n v="42258.59"/>
    <s v=""/>
  </r>
  <r>
    <s v="PRJ-0499"/>
    <s v="Automação de Plataforma 062"/>
    <x v="77"/>
    <x v="4"/>
    <x v="3"/>
    <x v="271"/>
    <d v="2026-06-24T00:00:00"/>
    <x v="2"/>
    <x v="0"/>
    <n v="50000"/>
    <n v="46795.49"/>
    <n v="90037.14"/>
    <n v="880"/>
    <n v="736"/>
    <s v="Híbrido"/>
    <n v="3204.510000000002"/>
    <s v=""/>
  </r>
  <r>
    <s v="PRJ-0500"/>
    <s v="Expansão de Supply 056"/>
    <x v="12"/>
    <x v="5"/>
    <x v="3"/>
    <x v="161"/>
    <d v="2026-05-23T00:00:00"/>
    <x v="161"/>
    <x v="0"/>
    <n v="50000"/>
    <n v="30581.27"/>
    <n v="31214.36"/>
    <n v="1209"/>
    <n v="606"/>
    <s v="Cascata"/>
    <n v="19418.73"/>
    <s v=""/>
  </r>
  <r>
    <s v="PRJ-0501"/>
    <s v="Implantação de RH 422"/>
    <x v="75"/>
    <x v="0"/>
    <x v="0"/>
    <x v="272"/>
    <d v="2026-05-19T00:00:00"/>
    <x v="6"/>
    <x v="0"/>
    <n v="213203.48"/>
    <n v="0"/>
    <n v="246214.69"/>
    <n v="1477"/>
    <n v="0"/>
    <s v="Ágil"/>
    <n v="213203.48"/>
    <s v=""/>
  </r>
  <r>
    <s v="PRJ-0502"/>
    <s v="Implantação de Segurança 434"/>
    <x v="145"/>
    <x v="9"/>
    <x v="1"/>
    <x v="156"/>
    <d v="2026-12-01T00:00:00"/>
    <x v="262"/>
    <x v="0"/>
    <n v="50000"/>
    <n v="25466.32"/>
    <n v="57957.38"/>
    <n v="976"/>
    <n v="341"/>
    <s v="Híbrido"/>
    <n v="24533.68"/>
    <s v=""/>
  </r>
  <r>
    <s v="PRJ-0503"/>
    <s v="Automação de Processos 823"/>
    <x v="147"/>
    <x v="0"/>
    <x v="2"/>
    <x v="271"/>
    <d v="2026-06-12T00:00:00"/>
    <x v="139"/>
    <x v="0"/>
    <n v="75262.5"/>
    <n v="39199.65"/>
    <n v="145905.75"/>
    <n v="1116"/>
    <n v="518"/>
    <s v="Cascata"/>
    <n v="36062.85"/>
    <s v=""/>
  </r>
  <r>
    <s v="PRJ-0504"/>
    <s v="Integração de Processos 247"/>
    <x v="49"/>
    <x v="6"/>
    <x v="1"/>
    <x v="7"/>
    <d v="2026-08-05T00:00:00"/>
    <x v="77"/>
    <x v="0"/>
    <n v="115908.8"/>
    <n v="85254.64"/>
    <n v="183099.03"/>
    <n v="6058"/>
    <n v="4630"/>
    <s v="Ágil"/>
    <n v="30654.160000000003"/>
    <s v=""/>
  </r>
  <r>
    <s v="PRJ-0505"/>
    <s v="Revisão de Relatórios 720"/>
    <x v="161"/>
    <x v="1"/>
    <x v="3"/>
    <x v="125"/>
    <d v="2026-09-20T00:00:00"/>
    <x v="6"/>
    <x v="0"/>
    <n v="59623.23"/>
    <n v="0"/>
    <n v="46509.68"/>
    <n v="627"/>
    <n v="0"/>
    <s v="Híbrido"/>
    <n v="59623.23"/>
    <s v=""/>
  </r>
  <r>
    <s v="PRJ-0506"/>
    <s v="Integração de Segurança 827"/>
    <x v="218"/>
    <x v="3"/>
    <x v="3"/>
    <x v="77"/>
    <d v="2026-12-31T00:00:00"/>
    <x v="6"/>
    <x v="0"/>
    <n v="173187.14"/>
    <n v="0"/>
    <n v="265872.68"/>
    <n v="2373"/>
    <n v="0"/>
    <s v="Cascata"/>
    <n v="173187.14"/>
    <s v=""/>
  </r>
  <r>
    <s v="PRJ-0507"/>
    <s v="Padronização de Plataforma 825"/>
    <x v="44"/>
    <x v="4"/>
    <x v="3"/>
    <x v="206"/>
    <d v="2026-05-08T00:00:00"/>
    <x v="263"/>
    <x v="0"/>
    <n v="50000"/>
    <n v="25922.41"/>
    <n v="91978.81"/>
    <n v="2952"/>
    <n v="1575"/>
    <s v="Ágil"/>
    <n v="24077.59"/>
    <s v=""/>
  </r>
  <r>
    <s v="PRJ-0508"/>
    <s v="Padronização de Atendimento 782"/>
    <x v="151"/>
    <x v="8"/>
    <x v="3"/>
    <x v="13"/>
    <d v="2026-03-12T00:00:00"/>
    <x v="234"/>
    <x v="0"/>
    <n v="113924.5"/>
    <n v="81368.12"/>
    <n v="175237.71"/>
    <n v="1633"/>
    <n v="1185"/>
    <s v="Híbrido"/>
    <n v="32556.380000000005"/>
    <s v=""/>
  </r>
  <r>
    <s v="PRJ-0509"/>
    <s v="Otimização de Operações 660"/>
    <x v="112"/>
    <x v="0"/>
    <x v="1"/>
    <x v="51"/>
    <d v="2026-04-11T00:00:00"/>
    <x v="264"/>
    <x v="0"/>
    <n v="50000"/>
    <n v="36507.57"/>
    <n v="89228.84"/>
    <n v="1122"/>
    <n v="887"/>
    <s v="Cascata"/>
    <n v="13492.43"/>
    <s v=""/>
  </r>
  <r>
    <s v="PRJ-0510"/>
    <s v="Modernização de Relatórios 750"/>
    <x v="70"/>
    <x v="4"/>
    <x v="1"/>
    <x v="273"/>
    <d v="2026-05-29T00:00:00"/>
    <x v="12"/>
    <x v="0"/>
    <n v="196391.79"/>
    <n v="218607.48"/>
    <n v="207449.47"/>
    <n v="3492"/>
    <n v="2775"/>
    <s v="Ágil"/>
    <n v="-22215.690000000002"/>
    <s v=""/>
  </r>
  <r>
    <s v="PRJ-0511"/>
    <s v="Integração de Supply 582"/>
    <x v="12"/>
    <x v="3"/>
    <x v="3"/>
    <x v="4"/>
    <d v="2026-05-27T00:00:00"/>
    <x v="200"/>
    <x v="0"/>
    <n v="50000"/>
    <n v="41649.78"/>
    <n v="88343.02"/>
    <n v="1383"/>
    <n v="1287"/>
    <s v="Híbrido"/>
    <n v="8350.2200000000012"/>
    <s v=""/>
  </r>
  <r>
    <s v="PRJ-0512"/>
    <s v="Implantação de Financeiro 084"/>
    <x v="219"/>
    <x v="3"/>
    <x v="2"/>
    <x v="10"/>
    <d v="2026-03-19T00:00:00"/>
    <x v="122"/>
    <x v="0"/>
    <n v="52203.27"/>
    <n v="8496.7800000000007"/>
    <n v="22590.32"/>
    <n v="1442"/>
    <n v="283"/>
    <s v="Cascata"/>
    <n v="43706.49"/>
    <s v=""/>
  </r>
  <r>
    <s v="PRJ-0513"/>
    <s v="Automação de Financeiro 364"/>
    <x v="220"/>
    <x v="3"/>
    <x v="0"/>
    <x v="16"/>
    <d v="2026-09-01T00:00:00"/>
    <x v="265"/>
    <x v="72"/>
    <n v="92222.97"/>
    <n v="106528.56"/>
    <n v="117570.15"/>
    <n v="1926"/>
    <n v="1959"/>
    <s v="Ágil"/>
    <n v="-14305.589999999997"/>
    <n v="96"/>
  </r>
  <r>
    <s v="PRJ-0514"/>
    <s v="Otimização de RH 966"/>
    <x v="146"/>
    <x v="9"/>
    <x v="1"/>
    <x v="274"/>
    <d v="2026-06-26T00:00:00"/>
    <x v="45"/>
    <x v="0"/>
    <n v="123701.59"/>
    <n v="123330.28"/>
    <n v="239528.49"/>
    <n v="420"/>
    <n v="479"/>
    <s v="Híbrido"/>
    <n v="371.30999999999767"/>
    <s v=""/>
  </r>
  <r>
    <s v="PRJ-0515"/>
    <s v="Revisão de Supply 017"/>
    <x v="51"/>
    <x v="1"/>
    <x v="1"/>
    <x v="145"/>
    <d v="2026-07-22T00:00:00"/>
    <x v="241"/>
    <x v="0"/>
    <n v="79819.72"/>
    <n v="42947.3"/>
    <n v="66934.92"/>
    <n v="2364"/>
    <n v="1487"/>
    <s v="Cascata"/>
    <n v="36872.42"/>
    <s v=""/>
  </r>
  <r>
    <s v="PRJ-0516"/>
    <s v="Automação de Dados 447"/>
    <x v="69"/>
    <x v="4"/>
    <x v="0"/>
    <x v="47"/>
    <d v="2026-09-05T00:00:00"/>
    <x v="123"/>
    <x v="0"/>
    <n v="347291.08"/>
    <n v="381396.05"/>
    <n v="285941.65999999997"/>
    <n v="2184"/>
    <n v="1799"/>
    <s v="Ágil"/>
    <n v="-34104.969999999972"/>
    <s v=""/>
  </r>
  <r>
    <s v="PRJ-0517"/>
    <s v="Padronização de Dados 596"/>
    <x v="135"/>
    <x v="3"/>
    <x v="0"/>
    <x v="275"/>
    <d v="2026-04-25T00:00:00"/>
    <x v="266"/>
    <x v="73"/>
    <n v="50000"/>
    <n v="49929.27"/>
    <n v="57646.61"/>
    <n v="2279"/>
    <n v="1856"/>
    <s v="Híbrido"/>
    <n v="70.730000000003201"/>
    <n v="76"/>
  </r>
  <r>
    <s v="PRJ-0518"/>
    <s v="Revisão de Segurança 520"/>
    <x v="91"/>
    <x v="3"/>
    <x v="1"/>
    <x v="276"/>
    <d v="2026-08-31T00:00:00"/>
    <x v="34"/>
    <x v="0"/>
    <n v="147500.98000000001"/>
    <n v="129054.96"/>
    <n v="271459.02"/>
    <n v="4972"/>
    <n v="4787"/>
    <s v="Cascata"/>
    <n v="18446.020000000004"/>
    <s v=""/>
  </r>
  <r>
    <s v="PRJ-0519"/>
    <s v="Revisão de Relatórios 983"/>
    <x v="204"/>
    <x v="8"/>
    <x v="0"/>
    <x v="67"/>
    <d v="2026-09-28T00:00:00"/>
    <x v="249"/>
    <x v="0"/>
    <n v="230551.82"/>
    <n v="34994.82"/>
    <n v="107249.29"/>
    <n v="1471"/>
    <n v="207"/>
    <s v="Ágil"/>
    <n v="195557"/>
    <s v=""/>
  </r>
  <r>
    <s v="PRJ-0520"/>
    <s v="Modernização de Relatórios 517"/>
    <x v="154"/>
    <x v="6"/>
    <x v="1"/>
    <x v="169"/>
    <d v="2026-06-05T00:00:00"/>
    <x v="65"/>
    <x v="74"/>
    <n v="707007.8"/>
    <n v="763116.4"/>
    <n v="1458565.01"/>
    <n v="852"/>
    <n v="853"/>
    <s v="Híbrido"/>
    <n v="-56108.599999999977"/>
    <n v="81"/>
  </r>
  <r>
    <s v="PRJ-0521"/>
    <s v="Otimização de Relatórios 465"/>
    <x v="73"/>
    <x v="3"/>
    <x v="0"/>
    <x v="102"/>
    <d v="2026-04-04T00:00:00"/>
    <x v="267"/>
    <x v="0"/>
    <n v="202563.64"/>
    <n v="88136.17"/>
    <n v="402965.27"/>
    <n v="1264"/>
    <n v="471"/>
    <s v="Cascata"/>
    <n v="114427.47000000002"/>
    <s v=""/>
  </r>
  <r>
    <s v="PRJ-0522"/>
    <s v="Padronização de Operações 126"/>
    <x v="112"/>
    <x v="6"/>
    <x v="3"/>
    <x v="163"/>
    <d v="2026-12-31T00:00:00"/>
    <x v="268"/>
    <x v="0"/>
    <n v="68585.81"/>
    <n v="14293.38"/>
    <n v="43522.47"/>
    <n v="592"/>
    <n v="104"/>
    <s v="Ágil"/>
    <n v="54292.43"/>
    <s v=""/>
  </r>
  <r>
    <s v="PRJ-0523"/>
    <s v="Revisão de RH 828"/>
    <x v="157"/>
    <x v="8"/>
    <x v="0"/>
    <x v="247"/>
    <d v="2026-12-01T00:00:00"/>
    <x v="269"/>
    <x v="0"/>
    <n v="50000"/>
    <n v="3922.08"/>
    <n v="62950.25"/>
    <n v="1678"/>
    <n v="151"/>
    <s v="Híbrido"/>
    <n v="46077.919999999998"/>
    <s v=""/>
  </r>
  <r>
    <s v="PRJ-0524"/>
    <s v="Otimização de Dados 024"/>
    <x v="93"/>
    <x v="8"/>
    <x v="2"/>
    <x v="16"/>
    <d v="2026-10-11T00:00:00"/>
    <x v="106"/>
    <x v="0"/>
    <n v="67985.460000000006"/>
    <n v="53940.57"/>
    <n v="71878.48"/>
    <n v="3164"/>
    <n v="2460"/>
    <s v="Cascata"/>
    <n v="14044.890000000007"/>
    <s v=""/>
  </r>
  <r>
    <s v="PRJ-0525"/>
    <s v="Implantação de RH 764"/>
    <x v="76"/>
    <x v="5"/>
    <x v="0"/>
    <x v="271"/>
    <d v="2026-08-13T00:00:00"/>
    <x v="270"/>
    <x v="0"/>
    <n v="765590.24"/>
    <n v="216699.17"/>
    <n v="357353.44"/>
    <n v="2135"/>
    <n v="554"/>
    <s v="Ágil"/>
    <n v="548891.06999999995"/>
    <s v=""/>
  </r>
  <r>
    <s v="PRJ-0526"/>
    <s v="Padronização de Financeiro 611"/>
    <x v="171"/>
    <x v="4"/>
    <x v="2"/>
    <x v="119"/>
    <d v="2026-10-04T00:00:00"/>
    <x v="116"/>
    <x v="0"/>
    <n v="50000"/>
    <n v="30619.32"/>
    <n v="60674.69"/>
    <n v="1668"/>
    <n v="1006"/>
    <s v="Híbrido"/>
    <n v="19380.68"/>
    <s v=""/>
  </r>
  <r>
    <s v="PRJ-0527"/>
    <s v="Expansão de Processos 118"/>
    <x v="113"/>
    <x v="1"/>
    <x v="3"/>
    <x v="277"/>
    <d v="2026-06-02T00:00:00"/>
    <x v="63"/>
    <x v="0"/>
    <n v="368451.13"/>
    <n v="241450.4"/>
    <n v="350140.81"/>
    <n v="1344"/>
    <n v="965"/>
    <s v="Cascata"/>
    <n v="127000.73000000001"/>
    <s v=""/>
  </r>
  <r>
    <s v="PRJ-0528"/>
    <s v="Modernização de Financeiro 291"/>
    <x v="221"/>
    <x v="3"/>
    <x v="3"/>
    <x v="21"/>
    <d v="2026-09-17T00:00:00"/>
    <x v="265"/>
    <x v="0"/>
    <n v="61503.23"/>
    <n v="39990.26"/>
    <n v="24195.439999999999"/>
    <n v="3099"/>
    <n v="1814"/>
    <s v="Ágil"/>
    <n v="21512.97"/>
    <s v=""/>
  </r>
  <r>
    <s v="PRJ-0529"/>
    <s v="Padronização de Processos 282"/>
    <x v="43"/>
    <x v="4"/>
    <x v="1"/>
    <x v="88"/>
    <d v="2026-12-18T00:00:00"/>
    <x v="71"/>
    <x v="0"/>
    <n v="471544.6"/>
    <n v="237589.33"/>
    <n v="199242.82"/>
    <n v="2921"/>
    <n v="1733"/>
    <s v="Híbrido"/>
    <n v="233955.27"/>
    <s v=""/>
  </r>
  <r>
    <s v="PRJ-0530"/>
    <s v="Otimização de Supply 661"/>
    <x v="222"/>
    <x v="0"/>
    <x v="1"/>
    <x v="34"/>
    <d v="2026-08-31T00:00:00"/>
    <x v="32"/>
    <x v="0"/>
    <n v="50608.45"/>
    <n v="27587.48"/>
    <n v="26000.49"/>
    <n v="1114"/>
    <n v="580"/>
    <s v="Cascata"/>
    <n v="23020.969999999998"/>
    <s v=""/>
  </r>
  <r>
    <s v="PRJ-0531"/>
    <s v="Modernização de Supply 961"/>
    <x v="23"/>
    <x v="7"/>
    <x v="0"/>
    <x v="278"/>
    <d v="2026-11-10T00:00:00"/>
    <x v="144"/>
    <x v="0"/>
    <n v="209258.82"/>
    <n v="193769.97"/>
    <n v="102403.2"/>
    <n v="1847"/>
    <n v="1257"/>
    <s v="Ágil"/>
    <n v="15488.850000000006"/>
    <s v=""/>
  </r>
  <r>
    <s v="PRJ-0532"/>
    <s v="Otimização de Atendimento 905"/>
    <x v="141"/>
    <x v="9"/>
    <x v="1"/>
    <x v="279"/>
    <d v="2026-10-20T00:00:00"/>
    <x v="53"/>
    <x v="0"/>
    <n v="104989.04"/>
    <n v="67740.81"/>
    <n v="156527.03"/>
    <n v="1737"/>
    <n v="811"/>
    <s v="Híbrido"/>
    <n v="37248.229999999996"/>
    <s v=""/>
  </r>
  <r>
    <s v="PRJ-0533"/>
    <s v="Padronização de Plataforma 535"/>
    <x v="108"/>
    <x v="9"/>
    <x v="1"/>
    <x v="225"/>
    <d v="2026-12-31T00:00:00"/>
    <x v="23"/>
    <x v="0"/>
    <n v="268873.58"/>
    <n v="159465.60000000001"/>
    <n v="100178.34"/>
    <n v="321"/>
    <n v="210"/>
    <s v="Cascata"/>
    <n v="109407.98000000001"/>
    <s v=""/>
  </r>
  <r>
    <s v="PRJ-0534"/>
    <s v="Integração de Plataforma 077"/>
    <x v="169"/>
    <x v="1"/>
    <x v="0"/>
    <x v="87"/>
    <d v="2026-05-23T00:00:00"/>
    <x v="271"/>
    <x v="0"/>
    <n v="50000"/>
    <n v="36641.57"/>
    <n v="23360.57"/>
    <n v="687"/>
    <n v="539"/>
    <s v="Ágil"/>
    <n v="13358.43"/>
    <s v=""/>
  </r>
  <r>
    <s v="PRJ-0535"/>
    <s v="Modernização de Relatórios 225"/>
    <x v="223"/>
    <x v="6"/>
    <x v="0"/>
    <x v="1"/>
    <d v="2026-10-03T00:00:00"/>
    <x v="145"/>
    <x v="0"/>
    <n v="50000"/>
    <n v="31673.99"/>
    <n v="15505.8"/>
    <n v="3497"/>
    <n v="2634"/>
    <s v="Híbrido"/>
    <n v="18326.009999999998"/>
    <s v=""/>
  </r>
  <r>
    <s v="PRJ-0536"/>
    <s v="Padronização de Relatórios 274"/>
    <x v="70"/>
    <x v="7"/>
    <x v="0"/>
    <x v="120"/>
    <d v="2026-08-26T00:00:00"/>
    <x v="272"/>
    <x v="0"/>
    <n v="96576.68"/>
    <n v="49728.1"/>
    <n v="137586.75"/>
    <n v="1064"/>
    <n v="425"/>
    <s v="Cascata"/>
    <n v="46848.579999999994"/>
    <s v=""/>
  </r>
  <r>
    <s v="PRJ-0537"/>
    <s v="Expansão de Financeiro 199"/>
    <x v="224"/>
    <x v="4"/>
    <x v="3"/>
    <x v="4"/>
    <d v="2026-08-28T00:00:00"/>
    <x v="237"/>
    <x v="0"/>
    <n v="50000"/>
    <n v="44300.33"/>
    <n v="86712.89"/>
    <n v="7677"/>
    <n v="6923"/>
    <s v="Ágil"/>
    <n v="5699.6699999999983"/>
    <s v=""/>
  </r>
  <r>
    <s v="PRJ-0538"/>
    <s v="Integração de Plataforma 545"/>
    <x v="119"/>
    <x v="3"/>
    <x v="3"/>
    <x v="139"/>
    <d v="2026-12-31T00:00:00"/>
    <x v="273"/>
    <x v="0"/>
    <n v="50000"/>
    <n v="18210.98"/>
    <n v="63918.3"/>
    <n v="128"/>
    <n v="46"/>
    <s v="Híbrido"/>
    <n v="31789.02"/>
    <s v=""/>
  </r>
  <r>
    <s v="PRJ-0539"/>
    <s v="Otimização de Plataforma 190"/>
    <x v="37"/>
    <x v="6"/>
    <x v="3"/>
    <x v="221"/>
    <d v="2026-10-25T00:00:00"/>
    <x v="189"/>
    <x v="0"/>
    <n v="89149.9"/>
    <n v="30007.040000000001"/>
    <n v="138359.87"/>
    <n v="1476"/>
    <n v="499"/>
    <s v="Cascata"/>
    <n v="59142.859999999993"/>
    <s v=""/>
  </r>
  <r>
    <s v="PRJ-0540"/>
    <s v="Implantação de Plataforma 175"/>
    <x v="173"/>
    <x v="7"/>
    <x v="0"/>
    <x v="145"/>
    <d v="2026-07-25T00:00:00"/>
    <x v="274"/>
    <x v="0"/>
    <n v="69792.95"/>
    <n v="58324.83"/>
    <n v="35186.89"/>
    <n v="2606"/>
    <n v="1906"/>
    <s v="Ágil"/>
    <n v="11468.119999999995"/>
    <s v=""/>
  </r>
  <r>
    <s v="PRJ-0541"/>
    <s v="Implantação de Supply 464"/>
    <x v="106"/>
    <x v="2"/>
    <x v="3"/>
    <x v="203"/>
    <d v="2026-03-08T00:00:00"/>
    <x v="132"/>
    <x v="0"/>
    <n v="50000"/>
    <n v="54174.99"/>
    <n v="92815.2"/>
    <n v="2061"/>
    <n v="1617"/>
    <s v="Híbrido"/>
    <n v="-4174.989999999998"/>
    <s v=""/>
  </r>
  <r>
    <s v="PRJ-0542"/>
    <s v="Expansão de Segurança 676"/>
    <x v="145"/>
    <x v="4"/>
    <x v="0"/>
    <x v="255"/>
    <d v="2026-08-11T00:00:00"/>
    <x v="118"/>
    <x v="0"/>
    <n v="291400.92"/>
    <n v="125657.45"/>
    <n v="227717.12"/>
    <n v="1568"/>
    <n v="647"/>
    <s v="Cascata"/>
    <n v="165743.46999999997"/>
    <s v=""/>
  </r>
  <r>
    <s v="PRJ-0543"/>
    <s v="Implantação de Supply 910"/>
    <x v="59"/>
    <x v="7"/>
    <x v="1"/>
    <x v="280"/>
    <d v="2026-06-17T00:00:00"/>
    <x v="193"/>
    <x v="16"/>
    <n v="50000"/>
    <n v="21181.54"/>
    <n v="59635.32"/>
    <n v="3982"/>
    <n v="1525"/>
    <s v="Ágil"/>
    <n v="28818.46"/>
    <n v="79"/>
  </r>
  <r>
    <s v="PRJ-0544"/>
    <s v="Modernização de Processos 511"/>
    <x v="193"/>
    <x v="1"/>
    <x v="2"/>
    <x v="16"/>
    <d v="2026-08-02T00:00:00"/>
    <x v="118"/>
    <x v="0"/>
    <n v="96986.880000000005"/>
    <n v="104195.18"/>
    <n v="189803.47"/>
    <n v="883"/>
    <n v="717"/>
    <s v="Híbrido"/>
    <n v="-7208.2999999999884"/>
    <s v=""/>
  </r>
  <r>
    <s v="PRJ-0545"/>
    <s v="Otimização de Financeiro 361"/>
    <x v="131"/>
    <x v="5"/>
    <x v="3"/>
    <x v="211"/>
    <d v="2026-09-20T00:00:00"/>
    <x v="222"/>
    <x v="0"/>
    <n v="62699.51"/>
    <n v="30653.38"/>
    <n v="81682.86"/>
    <n v="4166"/>
    <n v="2051"/>
    <s v="Cascata"/>
    <n v="32046.13"/>
    <s v=""/>
  </r>
  <r>
    <s v="PRJ-0546"/>
    <s v="Integração de Processos 485"/>
    <x v="66"/>
    <x v="8"/>
    <x v="3"/>
    <x v="18"/>
    <d v="2026-06-05T00:00:00"/>
    <x v="275"/>
    <x v="75"/>
    <n v="179504.58"/>
    <n v="180793.48"/>
    <n v="381868.84"/>
    <n v="1759"/>
    <n v="1954"/>
    <s v="Ágil"/>
    <n v="-1288.9000000000233"/>
    <n v="102"/>
  </r>
  <r>
    <s v="PRJ-0547"/>
    <s v="Automação de Financeiro 568"/>
    <x v="17"/>
    <x v="3"/>
    <x v="3"/>
    <x v="29"/>
    <d v="2026-10-20T00:00:00"/>
    <x v="276"/>
    <x v="11"/>
    <n v="83204.66"/>
    <n v="91270.66"/>
    <n v="88973.28"/>
    <n v="2371"/>
    <n v="2283"/>
    <s v="Híbrido"/>
    <n v="-8066"/>
    <n v="152"/>
  </r>
  <r>
    <s v="PRJ-0548"/>
    <s v="Revisão de Financeiro 478"/>
    <x v="83"/>
    <x v="8"/>
    <x v="3"/>
    <x v="279"/>
    <d v="2026-12-19T00:00:00"/>
    <x v="49"/>
    <x v="0"/>
    <n v="83842.570000000007"/>
    <n v="3789.32"/>
    <n v="52091.17"/>
    <n v="2697"/>
    <n v="142"/>
    <s v="Cascata"/>
    <n v="80053.25"/>
    <s v=""/>
  </r>
  <r>
    <s v="PRJ-0549"/>
    <s v="Implantação de Processos 774"/>
    <x v="197"/>
    <x v="7"/>
    <x v="2"/>
    <x v="62"/>
    <d v="2026-12-31T00:00:00"/>
    <x v="187"/>
    <x v="0"/>
    <n v="80366.929999999993"/>
    <n v="42360.95"/>
    <n v="154728.48000000001"/>
    <n v="1223"/>
    <n v="878"/>
    <s v="Ágil"/>
    <n v="38005.979999999996"/>
    <s v=""/>
  </r>
  <r>
    <s v="PRJ-0550"/>
    <s v="Revisão de Processos 125"/>
    <x v="166"/>
    <x v="3"/>
    <x v="3"/>
    <x v="124"/>
    <d v="2026-03-20T00:00:00"/>
    <x v="263"/>
    <x v="0"/>
    <n v="50000"/>
    <n v="26890.959999999999"/>
    <n v="83484.86"/>
    <n v="1504"/>
    <n v="715"/>
    <s v="Híbrido"/>
    <n v="23109.040000000001"/>
    <s v=""/>
  </r>
  <r>
    <s v="PRJ-0551"/>
    <s v="Integração de Plataforma 069"/>
    <x v="44"/>
    <x v="9"/>
    <x v="3"/>
    <x v="231"/>
    <d v="2026-12-31T00:00:00"/>
    <x v="92"/>
    <x v="3"/>
    <n v="292856.52"/>
    <n v="106620.31"/>
    <n v="612006.80000000005"/>
    <n v="199"/>
    <n v="68"/>
    <s v="Cascata"/>
    <n v="186236.21000000002"/>
    <n v="0"/>
  </r>
  <r>
    <s v="PRJ-0552"/>
    <s v="Padronização de Operações 127"/>
    <x v="120"/>
    <x v="1"/>
    <x v="3"/>
    <x v="122"/>
    <d v="2026-11-29T00:00:00"/>
    <x v="277"/>
    <x v="0"/>
    <n v="78846.539999999994"/>
    <n v="64499.17"/>
    <n v="157028.79"/>
    <n v="4445"/>
    <n v="2820"/>
    <s v="Ágil"/>
    <n v="14347.369999999995"/>
    <s v=""/>
  </r>
  <r>
    <s v="PRJ-0553"/>
    <s v="Implantação de Financeiro 396"/>
    <x v="225"/>
    <x v="9"/>
    <x v="1"/>
    <x v="0"/>
    <d v="2026-12-31T00:00:00"/>
    <x v="88"/>
    <x v="0"/>
    <n v="50000"/>
    <n v="48566.53"/>
    <n v="61789.58"/>
    <n v="2618"/>
    <n v="2025"/>
    <s v="Híbrido"/>
    <n v="1433.4700000000012"/>
    <s v=""/>
  </r>
  <r>
    <s v="PRJ-0554"/>
    <s v="Padronização de Atendimento 010"/>
    <x v="226"/>
    <x v="3"/>
    <x v="1"/>
    <x v="226"/>
    <d v="2026-12-31T00:00:00"/>
    <x v="278"/>
    <x v="0"/>
    <n v="53361.599999999999"/>
    <n v="12731.12"/>
    <n v="29159.01"/>
    <n v="787"/>
    <n v="187"/>
    <s v="Cascata"/>
    <n v="40630.479999999996"/>
    <s v=""/>
  </r>
  <r>
    <s v="PRJ-0555"/>
    <s v="Modernização de RH 386"/>
    <x v="144"/>
    <x v="4"/>
    <x v="3"/>
    <x v="245"/>
    <d v="2026-12-31T00:00:00"/>
    <x v="96"/>
    <x v="0"/>
    <n v="338188.18"/>
    <n v="103892.35"/>
    <n v="287980.42"/>
    <n v="947"/>
    <n v="214"/>
    <s v="Ágil"/>
    <n v="234295.83"/>
    <s v=""/>
  </r>
  <r>
    <s v="PRJ-0556"/>
    <s v="Padronização de Supply 779"/>
    <x v="64"/>
    <x v="5"/>
    <x v="1"/>
    <x v="207"/>
    <d v="2026-12-31T00:00:00"/>
    <x v="165"/>
    <x v="3"/>
    <n v="136831.94"/>
    <n v="138425.20000000001"/>
    <n v="98635.58"/>
    <n v="2047"/>
    <n v="1718"/>
    <s v="Híbrido"/>
    <n v="-1593.2600000000093"/>
    <n v="38"/>
  </r>
  <r>
    <s v="PRJ-0557"/>
    <s v="Padronização de Financeiro 137"/>
    <x v="13"/>
    <x v="0"/>
    <x v="0"/>
    <x v="76"/>
    <d v="2026-12-31T00:00:00"/>
    <x v="3"/>
    <x v="76"/>
    <n v="61101.27"/>
    <n v="17431.560000000001"/>
    <n v="103284.03"/>
    <n v="2022"/>
    <n v="620"/>
    <s v="Cascata"/>
    <n v="43669.709999999992"/>
    <n v="51"/>
  </r>
  <r>
    <s v="PRJ-0558"/>
    <s v="Otimização de Relatórios 915"/>
    <x v="161"/>
    <x v="6"/>
    <x v="3"/>
    <x v="174"/>
    <d v="2026-05-04T00:00:00"/>
    <x v="243"/>
    <x v="0"/>
    <n v="50000"/>
    <n v="13844.5"/>
    <n v="55728.89"/>
    <n v="1770"/>
    <n v="398"/>
    <s v="Ágil"/>
    <n v="36155.5"/>
    <s v=""/>
  </r>
  <r>
    <s v="PRJ-0559"/>
    <s v="Modernização de RH 438"/>
    <x v="11"/>
    <x v="3"/>
    <x v="3"/>
    <x v="281"/>
    <d v="2026-12-31T00:00:00"/>
    <x v="137"/>
    <x v="3"/>
    <n v="154784.82999999999"/>
    <n v="191995.97"/>
    <n v="137780.45000000001"/>
    <n v="3812"/>
    <n v="3221"/>
    <s v="Híbrido"/>
    <n v="-37211.140000000014"/>
    <n v="98"/>
  </r>
  <r>
    <s v="PRJ-0560"/>
    <s v="Revisão de Plataforma 894"/>
    <x v="15"/>
    <x v="1"/>
    <x v="1"/>
    <x v="57"/>
    <d v="2026-05-13T00:00:00"/>
    <x v="279"/>
    <x v="0"/>
    <n v="151044.91"/>
    <n v="63579.03"/>
    <n v="242405.75"/>
    <n v="3038"/>
    <n v="1568"/>
    <s v="Cascata"/>
    <n v="87465.88"/>
    <s v=""/>
  </r>
  <r>
    <s v="PRJ-0561"/>
    <s v="Expansão de Atendimento 206"/>
    <x v="54"/>
    <x v="0"/>
    <x v="0"/>
    <x v="176"/>
    <d v="2026-02-13T00:00:00"/>
    <x v="68"/>
    <x v="0"/>
    <n v="59628.31"/>
    <n v="43577.66"/>
    <n v="26448.35"/>
    <n v="115"/>
    <n v="111"/>
    <s v="Ágil"/>
    <n v="16050.649999999994"/>
    <s v=""/>
  </r>
  <r>
    <s v="PRJ-0562"/>
    <s v="Modernização de Dados 491"/>
    <x v="185"/>
    <x v="5"/>
    <x v="3"/>
    <x v="91"/>
    <d v="2026-08-25T00:00:00"/>
    <x v="164"/>
    <x v="77"/>
    <n v="616018.66"/>
    <n v="757484.25"/>
    <n v="1353622.71"/>
    <n v="1191"/>
    <n v="1280"/>
    <s v="Híbrido"/>
    <n v="-141465.58999999997"/>
    <n v="131"/>
  </r>
  <r>
    <s v="PRJ-0563"/>
    <s v="Expansão de Processos 566"/>
    <x v="43"/>
    <x v="9"/>
    <x v="1"/>
    <x v="239"/>
    <d v="2026-06-19T00:00:00"/>
    <x v="265"/>
    <x v="0"/>
    <n v="50000"/>
    <n v="12154.43"/>
    <n v="65806.09"/>
    <n v="328"/>
    <n v="65"/>
    <s v="Cascata"/>
    <n v="37845.57"/>
    <s v=""/>
  </r>
  <r>
    <s v="PRJ-0564"/>
    <s v="Modernização de Operações 011"/>
    <x v="27"/>
    <x v="3"/>
    <x v="0"/>
    <x v="233"/>
    <d v="2026-11-06T00:00:00"/>
    <x v="280"/>
    <x v="0"/>
    <n v="405116.94"/>
    <n v="345896.63"/>
    <n v="570281.94999999995"/>
    <n v="4646"/>
    <n v="2847"/>
    <s v="Ágil"/>
    <n v="59220.31"/>
    <s v=""/>
  </r>
  <r>
    <s v="PRJ-0565"/>
    <s v="Automação de Operações 408"/>
    <x v="24"/>
    <x v="4"/>
    <x v="2"/>
    <x v="176"/>
    <d v="2026-04-06T00:00:00"/>
    <x v="94"/>
    <x v="0"/>
    <n v="50000"/>
    <n v="45609.09"/>
    <n v="15086.05"/>
    <n v="1786"/>
    <n v="1552"/>
    <s v="Híbrido"/>
    <n v="4390.9100000000035"/>
    <s v=""/>
  </r>
  <r>
    <s v="PRJ-0566"/>
    <s v="Implantação de Supply 715"/>
    <x v="8"/>
    <x v="0"/>
    <x v="3"/>
    <x v="271"/>
    <d v="2026-07-05T00:00:00"/>
    <x v="138"/>
    <x v="0"/>
    <n v="534473.31000000006"/>
    <n v="101975.02"/>
    <n v="1033097.2"/>
    <n v="2055"/>
    <n v="472"/>
    <s v="Cascata"/>
    <n v="432498.29000000004"/>
    <s v=""/>
  </r>
  <r>
    <s v="PRJ-0567"/>
    <s v="Automação de Processos 241"/>
    <x v="50"/>
    <x v="0"/>
    <x v="3"/>
    <x v="272"/>
    <d v="2026-03-18T00:00:00"/>
    <x v="16"/>
    <x v="37"/>
    <n v="100836.69"/>
    <n v="100237.4"/>
    <n v="119346.99"/>
    <n v="938"/>
    <n v="1052"/>
    <s v="Ágil"/>
    <n v="599.29000000000815"/>
    <n v="41"/>
  </r>
  <r>
    <s v="PRJ-0568"/>
    <s v="Integração de Financeiro 189"/>
    <x v="111"/>
    <x v="0"/>
    <x v="3"/>
    <x v="269"/>
    <d v="2026-04-07T00:00:00"/>
    <x v="215"/>
    <x v="0"/>
    <n v="79898.740000000005"/>
    <n v="62952.639999999999"/>
    <n v="76871.23"/>
    <n v="569"/>
    <n v="378"/>
    <s v="Híbrido"/>
    <n v="16946.100000000006"/>
    <s v=""/>
  </r>
  <r>
    <s v="PRJ-0569"/>
    <s v="Expansão de Processos 827"/>
    <x v="212"/>
    <x v="9"/>
    <x v="1"/>
    <x v="6"/>
    <d v="2026-07-22T00:00:00"/>
    <x v="192"/>
    <x v="78"/>
    <n v="180364.3"/>
    <n v="180578.45"/>
    <n v="213007.35999999999"/>
    <n v="1950"/>
    <n v="1619"/>
    <s v="Cascata"/>
    <n v="-214.15000000002328"/>
    <n v="77"/>
  </r>
  <r>
    <s v="PRJ-0570"/>
    <s v="Otimização de Atendimento 819"/>
    <x v="54"/>
    <x v="3"/>
    <x v="0"/>
    <x v="201"/>
    <d v="2026-11-19T00:00:00"/>
    <x v="281"/>
    <x v="0"/>
    <n v="88672.02"/>
    <n v="91837.39"/>
    <n v="93232.36"/>
    <n v="621"/>
    <n v="653"/>
    <s v="Ágil"/>
    <n v="-3165.3699999999953"/>
    <s v=""/>
  </r>
  <r>
    <s v="PRJ-0571"/>
    <s v="Padronização de RH 018"/>
    <x v="11"/>
    <x v="6"/>
    <x v="3"/>
    <x v="163"/>
    <d v="2026-12-31T00:00:00"/>
    <x v="56"/>
    <x v="0"/>
    <n v="79506.03"/>
    <n v="57936.27"/>
    <n v="140845.5"/>
    <n v="316"/>
    <n v="209"/>
    <s v="Híbrido"/>
    <n v="21569.760000000002"/>
    <s v=""/>
  </r>
  <r>
    <s v="PRJ-0572"/>
    <s v="Implantação de Atendimento 266"/>
    <x v="151"/>
    <x v="7"/>
    <x v="2"/>
    <x v="176"/>
    <d v="2026-02-28T00:00:00"/>
    <x v="282"/>
    <x v="57"/>
    <n v="300218.71999999997"/>
    <n v="354465.56"/>
    <n v="151054.37"/>
    <n v="952"/>
    <n v="906"/>
    <s v="Cascata"/>
    <n v="-54246.840000000026"/>
    <n v="25"/>
  </r>
  <r>
    <s v="PRJ-0573"/>
    <s v="Implantação de Atendimento 017"/>
    <x v="148"/>
    <x v="6"/>
    <x v="1"/>
    <x v="244"/>
    <d v="2026-03-19T00:00:00"/>
    <x v="6"/>
    <x v="0"/>
    <n v="248527.55"/>
    <n v="0"/>
    <n v="308853.7"/>
    <n v="3017"/>
    <n v="0"/>
    <s v="Ágil"/>
    <n v="248527.55"/>
    <s v=""/>
  </r>
  <r>
    <s v="PRJ-0574"/>
    <s v="Automação de Processos 335"/>
    <x v="159"/>
    <x v="9"/>
    <x v="3"/>
    <x v="282"/>
    <d v="2026-06-13T00:00:00"/>
    <x v="7"/>
    <x v="0"/>
    <n v="74107.88"/>
    <n v="8088.68"/>
    <n v="94072.88"/>
    <n v="839"/>
    <n v="86"/>
    <s v="Híbrido"/>
    <n v="66019.200000000012"/>
    <s v=""/>
  </r>
  <r>
    <s v="PRJ-0575"/>
    <s v="Revisão de Dados 733"/>
    <x v="93"/>
    <x v="2"/>
    <x v="0"/>
    <x v="243"/>
    <d v="2026-02-11T00:00:00"/>
    <x v="267"/>
    <x v="79"/>
    <n v="255603.11"/>
    <n v="300469.55"/>
    <n v="316351.65000000002"/>
    <n v="585"/>
    <n v="698"/>
    <s v="Cascata"/>
    <n v="-44866.44"/>
    <n v="15"/>
  </r>
  <r>
    <s v="PRJ-0576"/>
    <s v="Modernização de Dados 818"/>
    <x v="191"/>
    <x v="2"/>
    <x v="3"/>
    <x v="28"/>
    <d v="2026-12-31T00:00:00"/>
    <x v="283"/>
    <x v="0"/>
    <n v="108300.56"/>
    <n v="76232.649999999994"/>
    <n v="47203.42"/>
    <n v="666"/>
    <n v="546"/>
    <s v="Ágil"/>
    <n v="32067.910000000003"/>
    <s v=""/>
  </r>
  <r>
    <s v="PRJ-0577"/>
    <s v="Expansão de Supply 082"/>
    <x v="200"/>
    <x v="7"/>
    <x v="3"/>
    <x v="204"/>
    <d v="2026-07-01T00:00:00"/>
    <x v="159"/>
    <x v="0"/>
    <n v="50000"/>
    <n v="18980.39"/>
    <n v="56588.84"/>
    <n v="1034"/>
    <n v="343"/>
    <s v="Híbrido"/>
    <n v="31019.61"/>
    <s v=""/>
  </r>
  <r>
    <s v="PRJ-0578"/>
    <s v="Automação de Operações 267"/>
    <x v="175"/>
    <x v="4"/>
    <x v="2"/>
    <x v="208"/>
    <d v="2026-06-28T00:00:00"/>
    <x v="284"/>
    <x v="0"/>
    <n v="50000"/>
    <n v="42939.48"/>
    <n v="38683.06"/>
    <n v="401"/>
    <n v="291"/>
    <s v="Cascata"/>
    <n v="7060.5199999999968"/>
    <s v=""/>
  </r>
  <r>
    <s v="PRJ-0579"/>
    <s v="Modernização de Relatórios 891"/>
    <x v="70"/>
    <x v="2"/>
    <x v="1"/>
    <x v="283"/>
    <d v="2026-12-31T00:00:00"/>
    <x v="69"/>
    <x v="3"/>
    <n v="173419.53"/>
    <n v="21478.93"/>
    <n v="282039.33"/>
    <n v="777"/>
    <n v="94"/>
    <s v="Ágil"/>
    <n v="151940.6"/>
    <n v="28"/>
  </r>
  <r>
    <s v="PRJ-0580"/>
    <s v="Modernização de Processos 076"/>
    <x v="147"/>
    <x v="9"/>
    <x v="2"/>
    <x v="195"/>
    <d v="2026-09-17T00:00:00"/>
    <x v="28"/>
    <x v="80"/>
    <n v="278674.40000000002"/>
    <n v="287099.56"/>
    <n v="234782.52"/>
    <n v="1769"/>
    <n v="1806"/>
    <s v="Híbrido"/>
    <n v="-8425.1599999999744"/>
    <n v="89"/>
  </r>
  <r>
    <s v="PRJ-0581"/>
    <s v="Padronização de Financeiro 329"/>
    <x v="194"/>
    <x v="3"/>
    <x v="0"/>
    <x v="284"/>
    <d v="2026-07-14T00:00:00"/>
    <x v="241"/>
    <x v="0"/>
    <n v="110595.6"/>
    <n v="70756.17"/>
    <n v="201295.42"/>
    <n v="2103"/>
    <n v="1325"/>
    <s v="Cascata"/>
    <n v="39839.430000000008"/>
    <s v=""/>
  </r>
  <r>
    <s v="PRJ-0582"/>
    <s v="Otimização de Segurança 441"/>
    <x v="104"/>
    <x v="4"/>
    <x v="2"/>
    <x v="82"/>
    <d v="2026-12-15T00:00:00"/>
    <x v="134"/>
    <x v="0"/>
    <n v="50000"/>
    <n v="27288.05"/>
    <n v="40826.769999999997"/>
    <n v="1749"/>
    <n v="1079"/>
    <s v="Ágil"/>
    <n v="22711.95"/>
    <s v=""/>
  </r>
  <r>
    <s v="PRJ-0583"/>
    <s v="Implantação de Relatórios 099"/>
    <x v="6"/>
    <x v="1"/>
    <x v="1"/>
    <x v="233"/>
    <d v="2026-10-09T00:00:00"/>
    <x v="58"/>
    <x v="0"/>
    <n v="84383.35"/>
    <n v="37434.33"/>
    <n v="100613.9"/>
    <n v="2601"/>
    <n v="1424"/>
    <s v="Híbrido"/>
    <n v="46949.020000000004"/>
    <s v=""/>
  </r>
  <r>
    <s v="PRJ-0584"/>
    <s v="Automação de RH 303"/>
    <x v="30"/>
    <x v="4"/>
    <x v="1"/>
    <x v="140"/>
    <d v="2026-06-17T00:00:00"/>
    <x v="161"/>
    <x v="81"/>
    <n v="50000"/>
    <n v="57869.36"/>
    <n v="36056.49"/>
    <n v="1400"/>
    <n v="1664"/>
    <s v="Cascata"/>
    <n v="-7869.3600000000006"/>
    <n v="74"/>
  </r>
  <r>
    <s v="PRJ-0585"/>
    <s v="Revisão de Atendimento 465"/>
    <x v="34"/>
    <x v="7"/>
    <x v="3"/>
    <x v="182"/>
    <d v="2026-12-31T00:00:00"/>
    <x v="211"/>
    <x v="0"/>
    <n v="58219.61"/>
    <n v="39016.1"/>
    <n v="64077.45"/>
    <n v="890"/>
    <n v="653"/>
    <s v="Ágil"/>
    <n v="19203.510000000002"/>
    <s v=""/>
  </r>
  <r>
    <s v="PRJ-0586"/>
    <s v="Integração de Atendimento 482"/>
    <x v="196"/>
    <x v="2"/>
    <x v="3"/>
    <x v="35"/>
    <d v="2026-12-29T00:00:00"/>
    <x v="71"/>
    <x v="0"/>
    <n v="111289.89"/>
    <n v="35385.35"/>
    <n v="86853.35"/>
    <n v="2391"/>
    <n v="924"/>
    <s v="Híbrido"/>
    <n v="75904.540000000008"/>
    <s v=""/>
  </r>
  <r>
    <s v="PRJ-0587"/>
    <s v="Implantação de Operações 390"/>
    <x v="117"/>
    <x v="5"/>
    <x v="3"/>
    <x v="285"/>
    <d v="2026-06-21T00:00:00"/>
    <x v="84"/>
    <x v="82"/>
    <n v="445610.67"/>
    <n v="519523.86"/>
    <n v="759200.09"/>
    <n v="2888"/>
    <n v="2731"/>
    <s v="Cascata"/>
    <n v="-73913.19"/>
    <n v="81"/>
  </r>
  <r>
    <s v="PRJ-0588"/>
    <s v="Modernização de Atendimento 430"/>
    <x v="199"/>
    <x v="2"/>
    <x v="3"/>
    <x v="182"/>
    <d v="2026-12-31T00:00:00"/>
    <x v="285"/>
    <x v="3"/>
    <n v="244556.2"/>
    <n v="227281.74"/>
    <n v="302901.34999999998"/>
    <n v="1369"/>
    <n v="1184"/>
    <s v="Ágil"/>
    <n v="17274.460000000021"/>
    <n v="33"/>
  </r>
  <r>
    <s v="PRJ-0589"/>
    <s v="Implantação de Atendimento 520"/>
    <x v="196"/>
    <x v="6"/>
    <x v="1"/>
    <x v="98"/>
    <d v="2026-12-31T00:00:00"/>
    <x v="286"/>
    <x v="0"/>
    <n v="125166.33"/>
    <n v="98303.35"/>
    <n v="206457.15"/>
    <n v="932"/>
    <n v="698"/>
    <s v="Híbrido"/>
    <n v="26862.979999999996"/>
    <s v=""/>
  </r>
  <r>
    <s v="PRJ-0590"/>
    <s v="Padronização de Financeiro 227"/>
    <x v="221"/>
    <x v="9"/>
    <x v="3"/>
    <x v="278"/>
    <d v="2026-10-10T00:00:00"/>
    <x v="287"/>
    <x v="0"/>
    <n v="243343.77"/>
    <n v="113677.5"/>
    <n v="226538.54"/>
    <n v="2449"/>
    <n v="1129"/>
    <s v="Cascata"/>
    <n v="129666.26999999999"/>
    <s v=""/>
  </r>
  <r>
    <s v="PRJ-0591"/>
    <s v="Otimização de Dados 216"/>
    <x v="101"/>
    <x v="4"/>
    <x v="0"/>
    <x v="51"/>
    <d v="2026-05-27T00:00:00"/>
    <x v="177"/>
    <x v="83"/>
    <n v="52220.15"/>
    <n v="5928.28"/>
    <n v="52599.58"/>
    <n v="1919"/>
    <n v="267"/>
    <s v="Ágil"/>
    <n v="46291.87"/>
    <n v="23"/>
  </r>
  <r>
    <s v="PRJ-0592"/>
    <s v="Expansão de RH 044"/>
    <x v="102"/>
    <x v="6"/>
    <x v="0"/>
    <x v="106"/>
    <d v="2026-09-17T00:00:00"/>
    <x v="100"/>
    <x v="0"/>
    <n v="62120.95"/>
    <n v="44490.78"/>
    <n v="114460.16"/>
    <n v="1402"/>
    <n v="904"/>
    <s v="Híbrido"/>
    <n v="17630.169999999998"/>
    <s v=""/>
  </r>
  <r>
    <s v="PRJ-0593"/>
    <s v="Modernização de Dados 740"/>
    <x v="114"/>
    <x v="8"/>
    <x v="1"/>
    <x v="276"/>
    <d v="2026-05-11T00:00:00"/>
    <x v="34"/>
    <x v="0"/>
    <n v="164976.4"/>
    <n v="107038.34"/>
    <n v="191016.65"/>
    <n v="2327"/>
    <n v="1720"/>
    <s v="Cascata"/>
    <n v="57938.06"/>
    <s v=""/>
  </r>
  <r>
    <s v="PRJ-0594"/>
    <s v="Padronização de Financeiro 299"/>
    <x v="227"/>
    <x v="9"/>
    <x v="1"/>
    <x v="286"/>
    <d v="2026-10-02T00:00:00"/>
    <x v="288"/>
    <x v="0"/>
    <n v="82804.95"/>
    <n v="23260.91"/>
    <n v="41928.620000000003"/>
    <n v="1523"/>
    <n v="456"/>
    <s v="Ágil"/>
    <n v="59544.039999999994"/>
    <s v=""/>
  </r>
  <r>
    <s v="PRJ-0595"/>
    <s v="Otimização de Financeiro 790"/>
    <x v="142"/>
    <x v="6"/>
    <x v="3"/>
    <x v="23"/>
    <d v="2026-06-20T00:00:00"/>
    <x v="4"/>
    <x v="84"/>
    <n v="510606.79"/>
    <n v="513084.36"/>
    <n v="396988.92"/>
    <n v="1297"/>
    <n v="1343"/>
    <s v="Híbrido"/>
    <n v="-2477.570000000007"/>
    <n v="62"/>
  </r>
  <r>
    <s v="PRJ-0596"/>
    <s v="Integração de Processos 786"/>
    <x v="228"/>
    <x v="2"/>
    <x v="3"/>
    <x v="287"/>
    <d v="2026-06-14T00:00:00"/>
    <x v="98"/>
    <x v="0"/>
    <n v="66674.720000000001"/>
    <n v="68166.460000000006"/>
    <n v="33890.33"/>
    <n v="6829"/>
    <n v="6836"/>
    <s v="Cascata"/>
    <n v="-1491.7400000000052"/>
    <s v=""/>
  </r>
  <r>
    <s v="PRJ-0597"/>
    <s v="Revisão de Segurança 330"/>
    <x v="9"/>
    <x v="3"/>
    <x v="0"/>
    <x v="265"/>
    <d v="2026-12-31T00:00:00"/>
    <x v="6"/>
    <x v="0"/>
    <n v="251834.98"/>
    <n v="0"/>
    <n v="510888.79"/>
    <n v="1725"/>
    <n v="0"/>
    <s v="Ágil"/>
    <n v="251834.98"/>
    <s v=""/>
  </r>
  <r>
    <s v="PRJ-0598"/>
    <s v="Automação de Dados 499"/>
    <x v="103"/>
    <x v="4"/>
    <x v="2"/>
    <x v="174"/>
    <d v="2026-04-07T00:00:00"/>
    <x v="6"/>
    <x v="0"/>
    <n v="50000"/>
    <n v="0"/>
    <n v="46626.65"/>
    <n v="736"/>
    <n v="0"/>
    <s v="Híbrido"/>
    <n v="50000"/>
    <s v=""/>
  </r>
  <r>
    <s v="PRJ-0599"/>
    <s v="Revisão de Dados 620"/>
    <x v="182"/>
    <x v="3"/>
    <x v="1"/>
    <x v="216"/>
    <d v="2026-08-26T00:00:00"/>
    <x v="289"/>
    <x v="85"/>
    <n v="152323.59"/>
    <n v="65655.48"/>
    <n v="49771.94"/>
    <n v="4024"/>
    <n v="1323"/>
    <s v="Cascata"/>
    <n v="86668.11"/>
    <n v="44"/>
  </r>
  <r>
    <s v="PRJ-0600"/>
    <s v="Implantação de Segurança 205"/>
    <x v="31"/>
    <x v="7"/>
    <x v="2"/>
    <x v="172"/>
    <d v="2026-12-20T00:00:00"/>
    <x v="290"/>
    <x v="0"/>
    <n v="77670.87"/>
    <n v="39136.839999999997"/>
    <n v="159358.54"/>
    <n v="2219"/>
    <n v="1345"/>
    <s v="Ágil"/>
    <n v="38534.03"/>
    <s v=""/>
  </r>
  <r>
    <s v="PRJ-0601"/>
    <s v="Implantação de Supply 640"/>
    <x v="106"/>
    <x v="7"/>
    <x v="1"/>
    <x v="222"/>
    <d v="2026-12-06T00:00:00"/>
    <x v="82"/>
    <x v="0"/>
    <n v="336290.62"/>
    <n v="174078.83"/>
    <n v="125005.92"/>
    <n v="505"/>
    <n v="310"/>
    <s v="Híbrido"/>
    <n v="162211.79"/>
    <s v=""/>
  </r>
  <r>
    <s v="PRJ-0602"/>
    <s v="Padronização de Segurança 173"/>
    <x v="203"/>
    <x v="4"/>
    <x v="1"/>
    <x v="6"/>
    <d v="2026-06-09T00:00:00"/>
    <x v="222"/>
    <x v="0"/>
    <n v="50000"/>
    <n v="16908.560000000001"/>
    <n v="67910.45"/>
    <n v="844"/>
    <n v="363"/>
    <s v="Cascata"/>
    <n v="33091.440000000002"/>
    <s v=""/>
  </r>
  <r>
    <s v="PRJ-0603"/>
    <s v="Implantação de Dados 779"/>
    <x v="229"/>
    <x v="6"/>
    <x v="2"/>
    <x v="286"/>
    <d v="2026-08-04T00:00:00"/>
    <x v="191"/>
    <x v="0"/>
    <n v="50000"/>
    <n v="26153.71"/>
    <n v="51368.3"/>
    <n v="1230"/>
    <n v="585"/>
    <s v="Ágil"/>
    <n v="23846.29"/>
    <s v=""/>
  </r>
  <r>
    <s v="PRJ-0604"/>
    <s v="Padronização de RH 712"/>
    <x v="97"/>
    <x v="4"/>
    <x v="3"/>
    <x v="274"/>
    <d v="2026-07-31T00:00:00"/>
    <x v="158"/>
    <x v="0"/>
    <n v="109782.24"/>
    <n v="5033.78"/>
    <n v="40391.300000000003"/>
    <n v="1867"/>
    <n v="75"/>
    <s v="Híbrido"/>
    <n v="104748.46"/>
    <s v=""/>
  </r>
  <r>
    <s v="PRJ-0605"/>
    <s v="Padronização de Supply 539"/>
    <x v="132"/>
    <x v="4"/>
    <x v="0"/>
    <x v="75"/>
    <d v="2026-09-26T00:00:00"/>
    <x v="72"/>
    <x v="34"/>
    <n v="114507.18"/>
    <n v="134941.04"/>
    <n v="141618.67000000001"/>
    <n v="3336"/>
    <n v="2688"/>
    <s v="Cascata"/>
    <n v="-20433.860000000015"/>
    <n v="90"/>
  </r>
  <r>
    <s v="PRJ-0606"/>
    <s v="Otimização de Operações 844"/>
    <x v="230"/>
    <x v="1"/>
    <x v="3"/>
    <x v="266"/>
    <d v="2026-12-31T00:00:00"/>
    <x v="291"/>
    <x v="3"/>
    <n v="520331.85"/>
    <n v="448912.51"/>
    <n v="620066.81999999995"/>
    <n v="1389"/>
    <n v="1605"/>
    <s v="Ágil"/>
    <n v="71419.339999999967"/>
    <n v="59"/>
  </r>
  <r>
    <s v="PRJ-0607"/>
    <s v="Expansão de Plataforma 058"/>
    <x v="169"/>
    <x v="1"/>
    <x v="3"/>
    <x v="244"/>
    <d v="2026-03-07T00:00:00"/>
    <x v="267"/>
    <x v="86"/>
    <n v="69349.41"/>
    <n v="65376.81"/>
    <n v="139576.78"/>
    <n v="794"/>
    <n v="768"/>
    <s v="Híbrido"/>
    <n v="3972.6000000000058"/>
    <n v="27"/>
  </r>
  <r>
    <s v="PRJ-0608"/>
    <s v="Otimização de Financeiro 427"/>
    <x v="131"/>
    <x v="2"/>
    <x v="0"/>
    <x v="203"/>
    <d v="2026-03-24T00:00:00"/>
    <x v="153"/>
    <x v="87"/>
    <n v="50000"/>
    <n v="45298.38"/>
    <n v="63748.44"/>
    <n v="3889"/>
    <n v="4243"/>
    <s v="Cascata"/>
    <n v="4701.6200000000026"/>
    <n v="106"/>
  </r>
  <r>
    <s v="PRJ-0609"/>
    <s v="Revisão de Plataforma 350"/>
    <x v="207"/>
    <x v="6"/>
    <x v="0"/>
    <x v="288"/>
    <d v="2026-06-14T00:00:00"/>
    <x v="117"/>
    <x v="0"/>
    <n v="50000"/>
    <n v="8848.16"/>
    <n v="95667.56"/>
    <n v="1610"/>
    <n v="298"/>
    <s v="Ágil"/>
    <n v="41151.839999999997"/>
    <s v=""/>
  </r>
  <r>
    <s v="PRJ-0610"/>
    <s v="Integração de Atendimento 858"/>
    <x v="88"/>
    <x v="0"/>
    <x v="1"/>
    <x v="274"/>
    <d v="2026-09-28T00:00:00"/>
    <x v="292"/>
    <x v="0"/>
    <n v="56085.61"/>
    <n v="23153.14"/>
    <n v="49373.3"/>
    <n v="2234"/>
    <n v="916"/>
    <s v="Híbrido"/>
    <n v="32932.47"/>
    <s v=""/>
  </r>
  <r>
    <s v="PRJ-0611"/>
    <s v="Padronização de Atendimento 095"/>
    <x v="199"/>
    <x v="8"/>
    <x v="3"/>
    <x v="173"/>
    <d v="2026-10-20T00:00:00"/>
    <x v="254"/>
    <x v="0"/>
    <n v="111355.38"/>
    <n v="69756.75"/>
    <n v="148055.03"/>
    <n v="2246"/>
    <n v="1429"/>
    <s v="Cascata"/>
    <n v="41598.630000000005"/>
    <s v=""/>
  </r>
  <r>
    <s v="PRJ-0612"/>
    <s v="Implantação de Segurança 351"/>
    <x v="231"/>
    <x v="1"/>
    <x v="3"/>
    <x v="248"/>
    <d v="2026-05-21T00:00:00"/>
    <x v="14"/>
    <x v="0"/>
    <n v="111661.3"/>
    <n v="6667.32"/>
    <n v="203134.17"/>
    <n v="1974"/>
    <n v="87"/>
    <s v="Ágil"/>
    <n v="104993.98000000001"/>
    <s v=""/>
  </r>
  <r>
    <s v="PRJ-0613"/>
    <s v="Otimização de Supply 719"/>
    <x v="58"/>
    <x v="8"/>
    <x v="3"/>
    <x v="93"/>
    <d v="2026-03-15T00:00:00"/>
    <x v="224"/>
    <x v="0"/>
    <n v="65070.41"/>
    <n v="53411.06"/>
    <n v="105944.52"/>
    <n v="1075"/>
    <n v="591"/>
    <s v="Híbrido"/>
    <n v="11659.350000000006"/>
    <s v=""/>
  </r>
  <r>
    <s v="PRJ-0614"/>
    <s v="Expansão de Financeiro 485"/>
    <x v="17"/>
    <x v="9"/>
    <x v="3"/>
    <x v="107"/>
    <d v="2026-10-26T00:00:00"/>
    <x v="44"/>
    <x v="0"/>
    <n v="112779.31"/>
    <n v="90435.45"/>
    <n v="134777.75"/>
    <n v="4524"/>
    <n v="3483"/>
    <s v="Cascata"/>
    <n v="22343.86"/>
    <s v=""/>
  </r>
  <r>
    <s v="PRJ-0615"/>
    <s v="Integração de Operações 770"/>
    <x v="184"/>
    <x v="2"/>
    <x v="3"/>
    <x v="289"/>
    <d v="2026-04-07T00:00:00"/>
    <x v="6"/>
    <x v="0"/>
    <n v="50000"/>
    <n v="0"/>
    <n v="50599.45"/>
    <n v="990"/>
    <n v="0"/>
    <s v="Ágil"/>
    <n v="50000"/>
    <s v=""/>
  </r>
  <r>
    <s v="PRJ-0616"/>
    <s v="Integração de Segurança 448"/>
    <x v="203"/>
    <x v="2"/>
    <x v="2"/>
    <x v="14"/>
    <d v="2026-09-28T00:00:00"/>
    <x v="178"/>
    <x v="0"/>
    <n v="88840.1"/>
    <n v="36991.129999999997"/>
    <n v="48249.49"/>
    <n v="1671"/>
    <n v="596"/>
    <s v="Híbrido"/>
    <n v="51848.970000000008"/>
    <s v=""/>
  </r>
  <r>
    <s v="PRJ-0617"/>
    <s v="Automação de Supply 782"/>
    <x v="232"/>
    <x v="5"/>
    <x v="1"/>
    <x v="119"/>
    <d v="2026-10-29T00:00:00"/>
    <x v="6"/>
    <x v="0"/>
    <n v="50000"/>
    <n v="0"/>
    <n v="67519.97"/>
    <n v="3245"/>
    <n v="0"/>
    <s v="Cascata"/>
    <n v="50000"/>
    <s v=""/>
  </r>
  <r>
    <s v="PRJ-0618"/>
    <s v="Revisão de Supply 514"/>
    <x v="12"/>
    <x v="2"/>
    <x v="0"/>
    <x v="155"/>
    <d v="2026-03-24T00:00:00"/>
    <x v="293"/>
    <x v="0"/>
    <n v="148655.19"/>
    <n v="57128.26"/>
    <n v="162389.82999999999"/>
    <n v="1698"/>
    <n v="651"/>
    <s v="Ágil"/>
    <n v="91526.93"/>
    <s v=""/>
  </r>
  <r>
    <s v="PRJ-0619"/>
    <s v="Expansão de RH 036"/>
    <x v="75"/>
    <x v="1"/>
    <x v="2"/>
    <x v="4"/>
    <d v="2026-06-15T00:00:00"/>
    <x v="241"/>
    <x v="0"/>
    <n v="185431.21"/>
    <n v="106580.6"/>
    <n v="298458.3"/>
    <n v="1465"/>
    <n v="931"/>
    <s v="Híbrido"/>
    <n v="78850.609999999986"/>
    <s v=""/>
  </r>
  <r>
    <s v="PRJ-0620"/>
    <s v="Expansão de RH 012"/>
    <x v="76"/>
    <x v="5"/>
    <x v="3"/>
    <x v="170"/>
    <d v="2026-12-31T00:00:00"/>
    <x v="92"/>
    <x v="0"/>
    <n v="335261.21000000002"/>
    <n v="317227.38"/>
    <n v="421132.96"/>
    <n v="473"/>
    <n v="501"/>
    <s v="Cascata"/>
    <n v="18033.830000000016"/>
    <s v=""/>
  </r>
  <r>
    <s v="PRJ-0621"/>
    <s v="Expansão de Plataforma 154"/>
    <x v="119"/>
    <x v="3"/>
    <x v="3"/>
    <x v="156"/>
    <d v="2026-10-24T00:00:00"/>
    <x v="219"/>
    <x v="0"/>
    <n v="80199.94"/>
    <n v="52717.69"/>
    <n v="160171.20000000001"/>
    <n v="2079"/>
    <n v="1103"/>
    <s v="Ágil"/>
    <n v="27482.25"/>
    <s v=""/>
  </r>
  <r>
    <s v="PRJ-0622"/>
    <s v="Revisão de Atendimento 436"/>
    <x v="125"/>
    <x v="1"/>
    <x v="1"/>
    <x v="249"/>
    <d v="2026-02-23T00:00:00"/>
    <x v="294"/>
    <x v="0"/>
    <n v="66445.48"/>
    <n v="17741.939999999999"/>
    <n v="53928.07"/>
    <n v="838"/>
    <n v="222"/>
    <s v="Híbrido"/>
    <n v="48703.539999999994"/>
    <s v=""/>
  </r>
  <r>
    <s v="PRJ-0623"/>
    <s v="Modernização de Dados 097"/>
    <x v="178"/>
    <x v="9"/>
    <x v="1"/>
    <x v="222"/>
    <d v="2026-12-31T00:00:00"/>
    <x v="6"/>
    <x v="0"/>
    <n v="119598.81"/>
    <n v="0"/>
    <n v="162974.14000000001"/>
    <n v="1083"/>
    <n v="0"/>
    <s v="Cascata"/>
    <n v="119598.81"/>
    <s v=""/>
  </r>
  <r>
    <s v="PRJ-0624"/>
    <s v="Modernização de Supply 950"/>
    <x v="59"/>
    <x v="7"/>
    <x v="0"/>
    <x v="172"/>
    <d v="2026-12-01T00:00:00"/>
    <x v="186"/>
    <x v="0"/>
    <n v="57574.89"/>
    <n v="35884.410000000003"/>
    <n v="57002.57"/>
    <n v="3005"/>
    <n v="2144"/>
    <s v="Ágil"/>
    <n v="21690.479999999996"/>
    <s v=""/>
  </r>
  <r>
    <s v="PRJ-0625"/>
    <s v="Otimização de Supply 588"/>
    <x v="233"/>
    <x v="3"/>
    <x v="1"/>
    <x v="290"/>
    <d v="2026-11-24T00:00:00"/>
    <x v="261"/>
    <x v="0"/>
    <n v="50000"/>
    <n v="39980.29"/>
    <n v="105486.67"/>
    <n v="2554"/>
    <n v="1986"/>
    <s v="Híbrido"/>
    <n v="10019.709999999999"/>
    <s v=""/>
  </r>
  <r>
    <s v="PRJ-0626"/>
    <s v="Automação de Atendimento 274"/>
    <x v="116"/>
    <x v="3"/>
    <x v="0"/>
    <x v="97"/>
    <d v="2026-12-31T00:00:00"/>
    <x v="281"/>
    <x v="0"/>
    <n v="50000"/>
    <n v="4092.89"/>
    <n v="69349.48"/>
    <n v="2233"/>
    <n v="128"/>
    <s v="Cascata"/>
    <n v="45907.11"/>
    <s v=""/>
  </r>
  <r>
    <s v="PRJ-0627"/>
    <s v="Padronização de Dados 013"/>
    <x v="92"/>
    <x v="2"/>
    <x v="1"/>
    <x v="40"/>
    <d v="2026-06-11T00:00:00"/>
    <x v="62"/>
    <x v="0"/>
    <n v="50000"/>
    <n v="43417.279999999999"/>
    <n v="19697.509999999998"/>
    <n v="364"/>
    <n v="237"/>
    <s v="Ágil"/>
    <n v="6582.7200000000012"/>
    <s v=""/>
  </r>
  <r>
    <s v="PRJ-0628"/>
    <s v="Padronização de Dados 354"/>
    <x v="229"/>
    <x v="2"/>
    <x v="0"/>
    <x v="291"/>
    <d v="2026-12-31T00:00:00"/>
    <x v="33"/>
    <x v="88"/>
    <n v="244873.36"/>
    <n v="286139.44"/>
    <n v="274329.76"/>
    <n v="1281"/>
    <n v="1252"/>
    <s v="Híbrido"/>
    <n v="-41266.080000000016"/>
    <n v="81"/>
  </r>
  <r>
    <s v="PRJ-0629"/>
    <s v="Implantação de Dados 762"/>
    <x v="95"/>
    <x v="4"/>
    <x v="3"/>
    <x v="18"/>
    <d v="2026-05-31T00:00:00"/>
    <x v="138"/>
    <x v="0"/>
    <n v="569397.24"/>
    <n v="489362.14"/>
    <n v="748735.05"/>
    <n v="1810"/>
    <n v="1125"/>
    <s v="Cascata"/>
    <n v="80035.099999999977"/>
    <s v=""/>
  </r>
  <r>
    <s v="PRJ-0630"/>
    <s v="Revisão de Segurança 429"/>
    <x v="104"/>
    <x v="3"/>
    <x v="3"/>
    <x v="4"/>
    <d v="2026-08-01T00:00:00"/>
    <x v="295"/>
    <x v="0"/>
    <n v="455560.98"/>
    <n v="85020.479999999996"/>
    <n v="623682.49"/>
    <n v="5574"/>
    <n v="1214"/>
    <s v="Ágil"/>
    <n v="370540.5"/>
    <s v=""/>
  </r>
  <r>
    <s v="PRJ-0631"/>
    <s v="Padronização de Relatórios 947"/>
    <x v="115"/>
    <x v="2"/>
    <x v="3"/>
    <x v="274"/>
    <d v="2026-07-28T00:00:00"/>
    <x v="86"/>
    <x v="0"/>
    <n v="50000"/>
    <n v="10262.73"/>
    <n v="86248.76"/>
    <n v="1399"/>
    <n v="311"/>
    <s v="Híbrido"/>
    <n v="39737.270000000004"/>
    <s v=""/>
  </r>
  <r>
    <s v="PRJ-0632"/>
    <s v="Modernização de Operações 585"/>
    <x v="24"/>
    <x v="8"/>
    <x v="3"/>
    <x v="11"/>
    <d v="2026-07-06T00:00:00"/>
    <x v="296"/>
    <x v="0"/>
    <n v="188846.42"/>
    <n v="80530.48"/>
    <n v="379927.01"/>
    <n v="4528"/>
    <n v="1970"/>
    <s v="Cascata"/>
    <n v="108315.94000000002"/>
    <s v=""/>
  </r>
  <r>
    <s v="PRJ-0633"/>
    <s v="Revisão de Segurança 180"/>
    <x v="10"/>
    <x v="2"/>
    <x v="1"/>
    <x v="292"/>
    <d v="2026-12-30T00:00:00"/>
    <x v="102"/>
    <x v="0"/>
    <n v="106658.68"/>
    <n v="58933.67"/>
    <n v="158826.35999999999"/>
    <n v="1225"/>
    <n v="795"/>
    <s v="Ágil"/>
    <n v="47725.009999999995"/>
    <s v=""/>
  </r>
  <r>
    <s v="PRJ-0634"/>
    <s v="Revisão de Relatórios 251"/>
    <x v="105"/>
    <x v="2"/>
    <x v="3"/>
    <x v="23"/>
    <d v="2026-07-13T00:00:00"/>
    <x v="18"/>
    <x v="0"/>
    <n v="50000"/>
    <n v="41347.379999999997"/>
    <n v="97531.94"/>
    <n v="549"/>
    <n v="444"/>
    <s v="Híbrido"/>
    <n v="8652.6200000000026"/>
    <s v=""/>
  </r>
  <r>
    <s v="PRJ-0635"/>
    <s v="Padronização de Processos 300"/>
    <x v="43"/>
    <x v="9"/>
    <x v="0"/>
    <x v="155"/>
    <d v="2026-04-05T00:00:00"/>
    <x v="125"/>
    <x v="0"/>
    <n v="50000"/>
    <n v="42388.86"/>
    <n v="77092.28"/>
    <n v="1466"/>
    <n v="972"/>
    <s v="Cascata"/>
    <n v="7611.1399999999994"/>
    <s v=""/>
  </r>
  <r>
    <s v="PRJ-0636"/>
    <s v="Integração de RH 216"/>
    <x v="97"/>
    <x v="2"/>
    <x v="0"/>
    <x v="275"/>
    <d v="2026-05-22T00:00:00"/>
    <x v="260"/>
    <x v="0"/>
    <n v="74852.45"/>
    <n v="78355.199999999997"/>
    <n v="103786.84"/>
    <n v="3209"/>
    <n v="3428"/>
    <s v="Ágil"/>
    <n v="-3502.75"/>
    <s v=""/>
  </r>
  <r>
    <s v="PRJ-0637"/>
    <s v="Automação de Relatórios 535"/>
    <x v="84"/>
    <x v="2"/>
    <x v="3"/>
    <x v="254"/>
    <d v="2026-10-01T00:00:00"/>
    <x v="223"/>
    <x v="0"/>
    <n v="50000"/>
    <n v="31892.3"/>
    <n v="57217.41"/>
    <n v="1365"/>
    <n v="1366"/>
    <s v="Híbrido"/>
    <n v="18107.7"/>
    <s v=""/>
  </r>
  <r>
    <s v="PRJ-0638"/>
    <s v="Implantação de Financeiro 264"/>
    <x v="96"/>
    <x v="6"/>
    <x v="3"/>
    <x v="201"/>
    <d v="2026-12-09T00:00:00"/>
    <x v="297"/>
    <x v="0"/>
    <n v="127990.26"/>
    <n v="92554.74"/>
    <n v="107771.41"/>
    <n v="2118"/>
    <n v="1373"/>
    <s v="Cascata"/>
    <n v="35435.51999999999"/>
    <s v=""/>
  </r>
  <r>
    <s v="PRJ-0639"/>
    <s v="Revisão de Financeiro 887"/>
    <x v="194"/>
    <x v="6"/>
    <x v="1"/>
    <x v="185"/>
    <d v="2026-12-31T00:00:00"/>
    <x v="142"/>
    <x v="0"/>
    <n v="86026.51"/>
    <n v="60586.2"/>
    <n v="103919.36"/>
    <n v="3268"/>
    <n v="1644"/>
    <s v="Ágil"/>
    <n v="25440.309999999998"/>
    <s v=""/>
  </r>
  <r>
    <s v="PRJ-0640"/>
    <s v="Padronização de RH 584"/>
    <x v="174"/>
    <x v="4"/>
    <x v="1"/>
    <x v="87"/>
    <d v="2026-09-09T00:00:00"/>
    <x v="6"/>
    <x v="0"/>
    <n v="268008.62"/>
    <n v="0"/>
    <n v="417598.48"/>
    <n v="1723"/>
    <n v="0"/>
    <s v="Híbrido"/>
    <n v="268008.62"/>
    <s v=""/>
  </r>
  <r>
    <s v="PRJ-0641"/>
    <s v="Integração de Atendimento 817"/>
    <x v="88"/>
    <x v="6"/>
    <x v="3"/>
    <x v="13"/>
    <d v="2026-05-17T00:00:00"/>
    <x v="294"/>
    <x v="0"/>
    <n v="50000"/>
    <n v="36756.379999999997"/>
    <n v="52489.760000000002"/>
    <n v="3976"/>
    <n v="2294"/>
    <s v="Cascata"/>
    <n v="13243.620000000003"/>
    <s v=""/>
  </r>
  <r>
    <s v="PRJ-0642"/>
    <s v="Padronização de RH 101"/>
    <x v="130"/>
    <x v="6"/>
    <x v="1"/>
    <x v="293"/>
    <d v="2026-07-14T00:00:00"/>
    <x v="129"/>
    <x v="0"/>
    <n v="92883.21"/>
    <n v="13792.34"/>
    <n v="165016.89000000001"/>
    <n v="2566"/>
    <n v="428"/>
    <s v="Ágil"/>
    <n v="79090.87000000001"/>
    <s v=""/>
  </r>
  <r>
    <s v="PRJ-0643"/>
    <s v="Padronização de Segurança 604"/>
    <x v="234"/>
    <x v="2"/>
    <x v="1"/>
    <x v="294"/>
    <d v="2026-12-31T00:00:00"/>
    <x v="6"/>
    <x v="0"/>
    <n v="180907.56"/>
    <n v="0"/>
    <n v="276502.13"/>
    <n v="2268"/>
    <n v="0"/>
    <s v="Híbrido"/>
    <n v="180907.56"/>
    <s v=""/>
  </r>
  <r>
    <s v="PRJ-0644"/>
    <s v="Implantação de RH 115"/>
    <x v="146"/>
    <x v="9"/>
    <x v="0"/>
    <x v="167"/>
    <d v="2026-10-27T00:00:00"/>
    <x v="298"/>
    <x v="0"/>
    <n v="259680.72"/>
    <n v="177508.8"/>
    <n v="315942.57"/>
    <n v="781"/>
    <n v="433"/>
    <s v="Cascata"/>
    <n v="82171.920000000013"/>
    <s v=""/>
  </r>
  <r>
    <s v="PRJ-0645"/>
    <s v="Modernização de Segurança 219"/>
    <x v="180"/>
    <x v="9"/>
    <x v="0"/>
    <x v="290"/>
    <d v="2026-10-24T00:00:00"/>
    <x v="299"/>
    <x v="0"/>
    <n v="144885.67000000001"/>
    <n v="90761.51"/>
    <n v="104025.47"/>
    <n v="1118"/>
    <n v="578"/>
    <s v="Ágil"/>
    <n v="54124.160000000018"/>
    <s v=""/>
  </r>
  <r>
    <s v="PRJ-0646"/>
    <s v="Automação de Supply 980"/>
    <x v="18"/>
    <x v="8"/>
    <x v="0"/>
    <x v="138"/>
    <d v="2026-12-22T00:00:00"/>
    <x v="134"/>
    <x v="0"/>
    <n v="69105.81"/>
    <n v="48469.09"/>
    <n v="150236.17000000001"/>
    <n v="3908"/>
    <n v="3377"/>
    <s v="Híbrido"/>
    <n v="20636.72"/>
    <s v=""/>
  </r>
  <r>
    <s v="PRJ-0647"/>
    <s v="Expansão de Financeiro 006"/>
    <x v="227"/>
    <x v="1"/>
    <x v="0"/>
    <x v="198"/>
    <d v="2026-09-10T00:00:00"/>
    <x v="300"/>
    <x v="49"/>
    <n v="97995.1"/>
    <n v="120715.75"/>
    <n v="53338.42"/>
    <n v="1263"/>
    <n v="1194"/>
    <s v="Cascata"/>
    <n v="-22720.649999999994"/>
    <n v="56"/>
  </r>
  <r>
    <s v="PRJ-0648"/>
    <s v="Integração de Segurança 633"/>
    <x v="234"/>
    <x v="3"/>
    <x v="3"/>
    <x v="131"/>
    <d v="2026-06-29T00:00:00"/>
    <x v="39"/>
    <x v="0"/>
    <n v="143843.20000000001"/>
    <n v="97143.72"/>
    <n v="173038.82"/>
    <n v="3231"/>
    <n v="1486"/>
    <s v="Ágil"/>
    <n v="46699.48000000001"/>
    <s v=""/>
  </r>
  <r>
    <s v="PRJ-0649"/>
    <s v="Implantação de Operações 601"/>
    <x v="24"/>
    <x v="8"/>
    <x v="1"/>
    <x v="295"/>
    <d v="2026-09-12T00:00:00"/>
    <x v="301"/>
    <x v="0"/>
    <n v="150540.07999999999"/>
    <n v="86660.61"/>
    <n v="83612.83"/>
    <n v="530"/>
    <n v="298"/>
    <s v="Híbrido"/>
    <n v="63879.469999999987"/>
    <s v=""/>
  </r>
  <r>
    <s v="PRJ-0650"/>
    <s v="Implantação de Operações 205"/>
    <x v="177"/>
    <x v="0"/>
    <x v="3"/>
    <x v="166"/>
    <d v="2026-11-18T00:00:00"/>
    <x v="160"/>
    <x v="0"/>
    <n v="85423.679999999993"/>
    <n v="37547.699999999997"/>
    <n v="71215.86"/>
    <n v="1758"/>
    <n v="731"/>
    <s v="Cascata"/>
    <n v="47875.979999999996"/>
    <s v=""/>
  </r>
  <r>
    <s v="PRJ-0651"/>
    <s v="Padronização de Segurança 189"/>
    <x v="150"/>
    <x v="7"/>
    <x v="3"/>
    <x v="296"/>
    <d v="2026-10-19T00:00:00"/>
    <x v="258"/>
    <x v="0"/>
    <n v="84250.7"/>
    <n v="57548.41"/>
    <n v="162218.26"/>
    <n v="2929"/>
    <n v="1709"/>
    <s v="Ágil"/>
    <n v="26702.289999999994"/>
    <s v=""/>
  </r>
  <r>
    <s v="PRJ-0652"/>
    <s v="Revisão de Processos 580"/>
    <x v="43"/>
    <x v="6"/>
    <x v="3"/>
    <x v="97"/>
    <d v="2026-12-31T00:00:00"/>
    <x v="120"/>
    <x v="3"/>
    <n v="54586.89"/>
    <n v="28833.91"/>
    <n v="103721.39"/>
    <n v="1666"/>
    <n v="788"/>
    <s v="Híbrido"/>
    <n v="25752.98"/>
    <n v="48"/>
  </r>
  <r>
    <s v="PRJ-0653"/>
    <s v="Padronização de Operações 666"/>
    <x v="162"/>
    <x v="4"/>
    <x v="0"/>
    <x v="127"/>
    <d v="2026-03-20T00:00:00"/>
    <x v="154"/>
    <x v="0"/>
    <n v="52469.45"/>
    <n v="55280.38"/>
    <n v="73270.81"/>
    <n v="1256"/>
    <n v="1033"/>
    <s v="Cascata"/>
    <n v="-2810.9300000000003"/>
    <s v=""/>
  </r>
  <r>
    <s v="PRJ-0654"/>
    <s v="Implantação de Processos 639"/>
    <x v="43"/>
    <x v="3"/>
    <x v="3"/>
    <x v="9"/>
    <d v="2026-08-26T00:00:00"/>
    <x v="86"/>
    <x v="89"/>
    <n v="112482.76"/>
    <n v="5496.57"/>
    <n v="81301.41"/>
    <n v="1418"/>
    <n v="65"/>
    <s v="Ágil"/>
    <n v="106986.19"/>
    <n v="23"/>
  </r>
  <r>
    <s v="PRJ-0655"/>
    <s v="Integração de Relatórios 212"/>
    <x v="73"/>
    <x v="9"/>
    <x v="3"/>
    <x v="90"/>
    <d v="2026-09-08T00:00:00"/>
    <x v="302"/>
    <x v="90"/>
    <n v="82747.350000000006"/>
    <n v="99841.47"/>
    <n v="50903.53"/>
    <n v="1882"/>
    <n v="2009"/>
    <s v="Híbrido"/>
    <n v="-17094.119999999995"/>
    <n v="49"/>
  </r>
  <r>
    <s v="PRJ-0656"/>
    <s v="Implantação de Segurança 959"/>
    <x v="145"/>
    <x v="0"/>
    <x v="3"/>
    <x v="297"/>
    <d v="2026-08-29T00:00:00"/>
    <x v="6"/>
    <x v="0"/>
    <n v="368907.82"/>
    <n v="0"/>
    <n v="627013.36"/>
    <n v="2108"/>
    <n v="0"/>
    <s v="Cascata"/>
    <n v="368907.82"/>
    <s v=""/>
  </r>
  <r>
    <s v="PRJ-0657"/>
    <s v="Expansão de Operações 835"/>
    <x v="74"/>
    <x v="9"/>
    <x v="0"/>
    <x v="122"/>
    <d v="2026-12-09T00:00:00"/>
    <x v="189"/>
    <x v="0"/>
    <n v="130201.93"/>
    <n v="109904.29"/>
    <n v="127981.41"/>
    <n v="4691"/>
    <n v="3938"/>
    <s v="Ágil"/>
    <n v="20297.64"/>
    <s v=""/>
  </r>
  <r>
    <s v="PRJ-0658"/>
    <s v="Implantação de Dados 115"/>
    <x v="114"/>
    <x v="5"/>
    <x v="1"/>
    <x v="107"/>
    <d v="2026-09-04T00:00:00"/>
    <x v="61"/>
    <x v="91"/>
    <n v="143875.12"/>
    <n v="172760.58"/>
    <n v="227971.05"/>
    <n v="1862"/>
    <n v="2199"/>
    <s v="Híbrido"/>
    <n v="-28885.459999999992"/>
    <n v="72"/>
  </r>
  <r>
    <s v="PRJ-0659"/>
    <s v="Otimização de Atendimento 748"/>
    <x v="54"/>
    <x v="9"/>
    <x v="0"/>
    <x v="125"/>
    <d v="2026-08-20T00:00:00"/>
    <x v="169"/>
    <x v="92"/>
    <n v="50000"/>
    <n v="45487.69"/>
    <n v="59570.77"/>
    <n v="3464"/>
    <n v="3758"/>
    <s v="Cascata"/>
    <n v="4512.3099999999977"/>
    <n v="126"/>
  </r>
  <r>
    <s v="PRJ-0660"/>
    <s v="Expansão de Relatórios 179"/>
    <x v="61"/>
    <x v="5"/>
    <x v="1"/>
    <x v="295"/>
    <d v="2026-12-31T00:00:00"/>
    <x v="303"/>
    <x v="0"/>
    <n v="68723.600000000006"/>
    <n v="32704.79"/>
    <n v="23631.46"/>
    <n v="3088"/>
    <n v="1661"/>
    <s v="Ágil"/>
    <n v="36018.810000000005"/>
    <s v=""/>
  </r>
  <r>
    <s v="PRJ-0661"/>
    <s v="Padronização de Processos 753"/>
    <x v="193"/>
    <x v="5"/>
    <x v="0"/>
    <x v="298"/>
    <d v="2026-08-24T00:00:00"/>
    <x v="304"/>
    <x v="0"/>
    <n v="119604.8"/>
    <n v="15980.43"/>
    <n v="46232.67"/>
    <n v="2350"/>
    <n v="310"/>
    <s v="Híbrido"/>
    <n v="103624.37"/>
    <s v=""/>
  </r>
  <r>
    <s v="PRJ-0662"/>
    <s v="Padronização de Relatórios 878"/>
    <x v="138"/>
    <x v="9"/>
    <x v="0"/>
    <x v="297"/>
    <d v="2026-08-04T00:00:00"/>
    <x v="288"/>
    <x v="0"/>
    <n v="186537.98"/>
    <n v="170905.86"/>
    <n v="254439.22"/>
    <n v="255"/>
    <n v="251"/>
    <s v="Cascata"/>
    <n v="15632.120000000024"/>
    <s v=""/>
  </r>
  <r>
    <s v="PRJ-0663"/>
    <s v="Integração de Dados 133"/>
    <x v="178"/>
    <x v="8"/>
    <x v="3"/>
    <x v="299"/>
    <d v="2026-10-09T00:00:00"/>
    <x v="44"/>
    <x v="0"/>
    <n v="143771.26"/>
    <n v="90111.38"/>
    <n v="71561.33"/>
    <n v="3235"/>
    <n v="1655"/>
    <s v="Ágil"/>
    <n v="53659.880000000005"/>
    <s v=""/>
  </r>
  <r>
    <s v="PRJ-0664"/>
    <s v="Implantação de Relatórios 336"/>
    <x v="99"/>
    <x v="0"/>
    <x v="0"/>
    <x v="241"/>
    <d v="2026-09-26T00:00:00"/>
    <x v="87"/>
    <x v="0"/>
    <n v="114447.54"/>
    <n v="107999.98"/>
    <n v="78868.42"/>
    <n v="4659"/>
    <n v="4197"/>
    <s v="Híbrido"/>
    <n v="6447.5599999999977"/>
    <s v=""/>
  </r>
  <r>
    <s v="PRJ-0665"/>
    <s v="Revisão de Segurança 644"/>
    <x v="234"/>
    <x v="5"/>
    <x v="0"/>
    <x v="300"/>
    <d v="2026-04-07T00:00:00"/>
    <x v="122"/>
    <x v="0"/>
    <n v="50000"/>
    <n v="22431.03"/>
    <n v="30411.81"/>
    <n v="4096"/>
    <n v="1876"/>
    <s v="Cascata"/>
    <n v="27568.97"/>
    <s v=""/>
  </r>
  <r>
    <s v="PRJ-0666"/>
    <s v="Padronização de Plataforma 685"/>
    <x v="28"/>
    <x v="7"/>
    <x v="3"/>
    <x v="245"/>
    <d v="2026-12-21T00:00:00"/>
    <x v="124"/>
    <x v="0"/>
    <n v="77481.75"/>
    <n v="63388.3"/>
    <n v="49689.38"/>
    <n v="546"/>
    <n v="427"/>
    <s v="Ágil"/>
    <n v="14093.449999999997"/>
    <s v=""/>
  </r>
  <r>
    <s v="PRJ-0667"/>
    <s v="Padronização de Financeiro 567"/>
    <x v="33"/>
    <x v="8"/>
    <x v="0"/>
    <x v="287"/>
    <d v="2026-04-08T00:00:00"/>
    <x v="6"/>
    <x v="0"/>
    <n v="103190.18"/>
    <n v="0"/>
    <n v="126207.67999999999"/>
    <n v="1518"/>
    <n v="0"/>
    <s v="Híbrido"/>
    <n v="103190.18"/>
    <s v=""/>
  </r>
  <r>
    <s v="PRJ-0668"/>
    <s v="Otimização de Dados 372"/>
    <x v="48"/>
    <x v="5"/>
    <x v="0"/>
    <x v="148"/>
    <d v="2026-09-07T00:00:00"/>
    <x v="233"/>
    <x v="0"/>
    <n v="210904.05"/>
    <n v="44320.83"/>
    <n v="124764.08"/>
    <n v="5391"/>
    <n v="1205"/>
    <s v="Cascata"/>
    <n v="166583.21999999997"/>
    <s v=""/>
  </r>
  <r>
    <s v="PRJ-0669"/>
    <s v="Otimização de Financeiro 304"/>
    <x v="111"/>
    <x v="4"/>
    <x v="3"/>
    <x v="87"/>
    <d v="2026-06-20T00:00:00"/>
    <x v="4"/>
    <x v="0"/>
    <n v="158528.73000000001"/>
    <n v="172732.15"/>
    <n v="281486.17"/>
    <n v="1879"/>
    <n v="1805"/>
    <s v="Ágil"/>
    <n v="-14203.419999999984"/>
    <s v=""/>
  </r>
  <r>
    <s v="PRJ-0670"/>
    <s v="Expansão de Relatórios 148"/>
    <x v="25"/>
    <x v="3"/>
    <x v="3"/>
    <x v="241"/>
    <d v="2026-05-25T00:00:00"/>
    <x v="240"/>
    <x v="93"/>
    <n v="58073.71"/>
    <n v="67129.679999999993"/>
    <n v="118402.71"/>
    <n v="416"/>
    <n v="351"/>
    <s v="Híbrido"/>
    <n v="-9055.9699999999939"/>
    <n v="19"/>
  </r>
  <r>
    <s v="PRJ-0671"/>
    <s v="Automação de Segurança 455"/>
    <x v="145"/>
    <x v="6"/>
    <x v="0"/>
    <x v="19"/>
    <d v="2026-08-02T00:00:00"/>
    <x v="1"/>
    <x v="0"/>
    <n v="239062.58"/>
    <n v="272640.65999999997"/>
    <n v="198646.8"/>
    <n v="983"/>
    <n v="924"/>
    <s v="Cascata"/>
    <n v="-33578.079999999987"/>
    <s v=""/>
  </r>
  <r>
    <s v="PRJ-0672"/>
    <s v="Modernização de Supply 897"/>
    <x v="47"/>
    <x v="2"/>
    <x v="3"/>
    <x v="166"/>
    <d v="2026-09-28T00:00:00"/>
    <x v="53"/>
    <x v="0"/>
    <n v="247880.31"/>
    <n v="152213.25"/>
    <n v="499059.7"/>
    <n v="578"/>
    <n v="284"/>
    <s v="Ágil"/>
    <n v="95667.06"/>
    <s v=""/>
  </r>
  <r>
    <s v="PRJ-0673"/>
    <s v="Padronização de Financeiro 432"/>
    <x v="131"/>
    <x v="3"/>
    <x v="1"/>
    <x v="100"/>
    <d v="2026-12-21T00:00:00"/>
    <x v="49"/>
    <x v="0"/>
    <n v="68534.97"/>
    <n v="75336.89"/>
    <n v="47185.42"/>
    <n v="2144"/>
    <n v="1795"/>
    <s v="Híbrido"/>
    <n v="-6801.9199999999983"/>
    <s v=""/>
  </r>
  <r>
    <s v="PRJ-0674"/>
    <s v="Implantação de Plataforma 800"/>
    <x v="207"/>
    <x v="8"/>
    <x v="2"/>
    <x v="215"/>
    <d v="2026-10-10T00:00:00"/>
    <x v="169"/>
    <x v="0"/>
    <n v="170687.37"/>
    <n v="112473.71"/>
    <n v="364418.2"/>
    <n v="938"/>
    <n v="529"/>
    <s v="Cascata"/>
    <n v="58213.659999999989"/>
    <s v=""/>
  </r>
  <r>
    <s v="PRJ-0675"/>
    <s v="Expansão de Processos 356"/>
    <x v="50"/>
    <x v="1"/>
    <x v="3"/>
    <x v="289"/>
    <d v="2026-05-10T00:00:00"/>
    <x v="10"/>
    <x v="0"/>
    <n v="50120.46"/>
    <n v="31418.82"/>
    <n v="33860.120000000003"/>
    <n v="1000"/>
    <n v="565"/>
    <s v="Ágil"/>
    <n v="18701.64"/>
    <s v=""/>
  </r>
  <r>
    <s v="PRJ-0676"/>
    <s v="Padronização de Atendimento 368"/>
    <x v="125"/>
    <x v="1"/>
    <x v="2"/>
    <x v="102"/>
    <d v="2026-01-28T00:00:00"/>
    <x v="63"/>
    <x v="0"/>
    <n v="291371.28999999998"/>
    <n v="207476.48000000001"/>
    <n v="611724.22"/>
    <n v="429"/>
    <n v="250"/>
    <s v="Híbrido"/>
    <n v="83894.809999999969"/>
    <s v=""/>
  </r>
  <r>
    <s v="PRJ-0677"/>
    <s v="Modernização de Supply 361"/>
    <x v="8"/>
    <x v="6"/>
    <x v="3"/>
    <x v="174"/>
    <d v="2026-05-31T00:00:00"/>
    <x v="174"/>
    <x v="0"/>
    <n v="154486.62"/>
    <n v="89138.3"/>
    <n v="138118.29999999999"/>
    <n v="1489"/>
    <n v="1078"/>
    <s v="Cascata"/>
    <n v="65348.319999999992"/>
    <s v=""/>
  </r>
  <r>
    <s v="PRJ-0678"/>
    <s v="Revisão de RH 918"/>
    <x v="2"/>
    <x v="6"/>
    <x v="0"/>
    <x v="21"/>
    <d v="2026-09-09T00:00:00"/>
    <x v="86"/>
    <x v="0"/>
    <n v="82225.600000000006"/>
    <n v="29037.75"/>
    <n v="118034.44"/>
    <n v="3108"/>
    <n v="1721"/>
    <s v="Ágil"/>
    <n v="53187.850000000006"/>
    <s v=""/>
  </r>
  <r>
    <s v="PRJ-0679"/>
    <s v="Expansão de Atendimento 150"/>
    <x v="148"/>
    <x v="5"/>
    <x v="1"/>
    <x v="89"/>
    <d v="2026-12-31T00:00:00"/>
    <x v="202"/>
    <x v="0"/>
    <n v="57800.480000000003"/>
    <n v="13856.92"/>
    <n v="125115.87"/>
    <n v="2080"/>
    <n v="428"/>
    <s v="Híbrido"/>
    <n v="43943.560000000005"/>
    <s v=""/>
  </r>
  <r>
    <s v="PRJ-0680"/>
    <s v="Automação de Atendimento 027"/>
    <x v="151"/>
    <x v="2"/>
    <x v="1"/>
    <x v="62"/>
    <d v="2026-12-31T00:00:00"/>
    <x v="211"/>
    <x v="3"/>
    <n v="60396.42"/>
    <n v="61614.77"/>
    <n v="104814.35"/>
    <n v="1733"/>
    <n v="2073"/>
    <s v="Cascata"/>
    <n v="-1218.3499999999985"/>
    <n v="31"/>
  </r>
  <r>
    <s v="PRJ-0681"/>
    <s v="Expansão de Relatórios 869"/>
    <x v="235"/>
    <x v="6"/>
    <x v="0"/>
    <x v="254"/>
    <d v="2026-08-10T00:00:00"/>
    <x v="258"/>
    <x v="94"/>
    <n v="50000"/>
    <n v="54741.59"/>
    <n v="89847.15"/>
    <n v="1890"/>
    <n v="2178"/>
    <s v="Ágil"/>
    <n v="-4741.5899999999965"/>
    <n v="86"/>
  </r>
  <r>
    <s v="PRJ-0682"/>
    <s v="Automação de Plataforma 940"/>
    <x v="143"/>
    <x v="3"/>
    <x v="0"/>
    <x v="198"/>
    <d v="2026-11-01T00:00:00"/>
    <x v="305"/>
    <x v="95"/>
    <n v="115686.22"/>
    <n v="4671.21"/>
    <n v="61001.09"/>
    <n v="3294"/>
    <n v="133"/>
    <s v="Híbrido"/>
    <n v="111015.01"/>
    <n v="66"/>
  </r>
  <r>
    <s v="PRJ-0683"/>
    <s v="Expansão de Plataforma 977"/>
    <x v="133"/>
    <x v="4"/>
    <x v="1"/>
    <x v="60"/>
    <d v="2026-12-31T00:00:00"/>
    <x v="306"/>
    <x v="0"/>
    <n v="102522.65"/>
    <n v="93351.77"/>
    <n v="50277.27"/>
    <n v="1059"/>
    <n v="919"/>
    <s v="Cascata"/>
    <n v="9170.8799999999901"/>
    <s v=""/>
  </r>
  <r>
    <s v="PRJ-0684"/>
    <s v="Expansão de Relatórios 406"/>
    <x v="115"/>
    <x v="4"/>
    <x v="3"/>
    <x v="277"/>
    <d v="2026-04-19T00:00:00"/>
    <x v="141"/>
    <x v="0"/>
    <n v="56812.59"/>
    <n v="57642.239999999998"/>
    <n v="64961.89"/>
    <n v="1566"/>
    <n v="1428"/>
    <s v="Ágil"/>
    <n v="-829.65000000000146"/>
    <s v=""/>
  </r>
  <r>
    <s v="PRJ-0685"/>
    <s v="Modernização de Plataforma 629"/>
    <x v="173"/>
    <x v="8"/>
    <x v="3"/>
    <x v="66"/>
    <d v="2026-11-08T00:00:00"/>
    <x v="126"/>
    <x v="21"/>
    <n v="85235.03"/>
    <n v="93831.44"/>
    <n v="80044.259999999995"/>
    <n v="749"/>
    <n v="664"/>
    <s v="Híbrido"/>
    <n v="-8596.4100000000035"/>
    <n v="28"/>
  </r>
  <r>
    <s v="PRJ-0686"/>
    <s v="Expansão de Financeiro 391"/>
    <x v="194"/>
    <x v="3"/>
    <x v="0"/>
    <x v="243"/>
    <d v="2026-03-19T00:00:00"/>
    <x v="132"/>
    <x v="0"/>
    <n v="325572.06"/>
    <n v="225560.02"/>
    <n v="470937.84"/>
    <n v="2692"/>
    <n v="2248"/>
    <s v="Cascata"/>
    <n v="100012.04000000001"/>
    <s v=""/>
  </r>
  <r>
    <s v="PRJ-0687"/>
    <s v="Modernização de Dados 264"/>
    <x v="191"/>
    <x v="2"/>
    <x v="1"/>
    <x v="224"/>
    <d v="2026-04-13T00:00:00"/>
    <x v="266"/>
    <x v="0"/>
    <n v="118971.79"/>
    <n v="33061.18"/>
    <n v="125793.56"/>
    <n v="2531"/>
    <n v="759"/>
    <s v="Ágil"/>
    <n v="85910.609999999986"/>
    <s v=""/>
  </r>
  <r>
    <s v="PRJ-0688"/>
    <s v="Integração de Operações 511"/>
    <x v="139"/>
    <x v="9"/>
    <x v="0"/>
    <x v="235"/>
    <d v="2026-01-17T00:00:00"/>
    <x v="6"/>
    <x v="0"/>
    <n v="68490.62"/>
    <n v="0"/>
    <n v="26018.57"/>
    <n v="259"/>
    <n v="0"/>
    <s v="Híbrido"/>
    <n v="68490.62"/>
    <s v=""/>
  </r>
  <r>
    <s v="PRJ-0689"/>
    <s v="Modernização de Atendimento 958"/>
    <x v="54"/>
    <x v="6"/>
    <x v="1"/>
    <x v="246"/>
    <d v="2026-06-02T00:00:00"/>
    <x v="171"/>
    <x v="0"/>
    <n v="108591.96"/>
    <n v="93871.59"/>
    <n v="205547.41"/>
    <n v="1859"/>
    <n v="1510"/>
    <s v="Cascata"/>
    <n v="14720.37000000001"/>
    <s v=""/>
  </r>
  <r>
    <s v="PRJ-0690"/>
    <s v="Modernização de Supply 253"/>
    <x v="56"/>
    <x v="2"/>
    <x v="3"/>
    <x v="18"/>
    <d v="2026-07-05T00:00:00"/>
    <x v="6"/>
    <x v="0"/>
    <n v="92361.23"/>
    <n v="0"/>
    <n v="102096.98"/>
    <n v="4446"/>
    <n v="0"/>
    <s v="Ágil"/>
    <n v="92361.23"/>
    <s v=""/>
  </r>
  <r>
    <s v="PRJ-0691"/>
    <s v="Expansão de Dados 659"/>
    <x v="185"/>
    <x v="6"/>
    <x v="1"/>
    <x v="301"/>
    <d v="2026-12-31T00:00:00"/>
    <x v="102"/>
    <x v="0"/>
    <n v="50000"/>
    <n v="36536.18"/>
    <n v="91794.65"/>
    <n v="1651"/>
    <n v="984"/>
    <s v="Híbrido"/>
    <n v="13463.82"/>
    <s v=""/>
  </r>
  <r>
    <s v="PRJ-0692"/>
    <s v="Implantação de RH 806"/>
    <x v="97"/>
    <x v="2"/>
    <x v="3"/>
    <x v="261"/>
    <d v="2026-10-11T00:00:00"/>
    <x v="307"/>
    <x v="96"/>
    <n v="65330.559999999998"/>
    <n v="72442.69"/>
    <n v="133477.46"/>
    <n v="2740"/>
    <n v="2646"/>
    <s v="Cascata"/>
    <n v="-7112.1300000000047"/>
    <n v="58"/>
  </r>
  <r>
    <s v="PRJ-0693"/>
    <s v="Revisão de Dados 054"/>
    <x v="87"/>
    <x v="4"/>
    <x v="1"/>
    <x v="294"/>
    <d v="2026-12-31T00:00:00"/>
    <x v="79"/>
    <x v="3"/>
    <n v="78281.48"/>
    <n v="75755.23"/>
    <n v="153299.64000000001"/>
    <n v="1743"/>
    <n v="2057"/>
    <s v="Ágil"/>
    <n v="2526.25"/>
    <n v="87"/>
  </r>
  <r>
    <s v="PRJ-0694"/>
    <s v="Otimização de Processos 945"/>
    <x v="197"/>
    <x v="4"/>
    <x v="3"/>
    <x v="209"/>
    <d v="2026-12-30T00:00:00"/>
    <x v="6"/>
    <x v="0"/>
    <n v="67196.66"/>
    <n v="0"/>
    <n v="65028.84"/>
    <n v="2415"/>
    <n v="0"/>
    <s v="Híbrido"/>
    <n v="67196.66"/>
    <s v=""/>
  </r>
  <r>
    <s v="PRJ-0695"/>
    <s v="Implantação de Financeiro 697"/>
    <x v="29"/>
    <x v="0"/>
    <x v="1"/>
    <x v="202"/>
    <d v="2026-10-13T00:00:00"/>
    <x v="123"/>
    <x v="51"/>
    <n v="112216.38"/>
    <n v="107685.27"/>
    <n v="47564.74"/>
    <n v="1819"/>
    <n v="2118"/>
    <s v="Cascata"/>
    <n v="4531.1100000000006"/>
    <n v="114"/>
  </r>
  <r>
    <s v="PRJ-0696"/>
    <s v="Padronização de Relatórios 679"/>
    <x v="236"/>
    <x v="6"/>
    <x v="3"/>
    <x v="293"/>
    <d v="2026-04-22T00:00:00"/>
    <x v="194"/>
    <x v="40"/>
    <n v="50000"/>
    <n v="54774.239999999998"/>
    <n v="74244.460000000006"/>
    <n v="299"/>
    <n v="287"/>
    <s v="Ágil"/>
    <n v="-4774.239999999998"/>
    <n v="27"/>
  </r>
  <r>
    <s v="PRJ-0697"/>
    <s v="Modernização de Plataforma 405"/>
    <x v="133"/>
    <x v="0"/>
    <x v="1"/>
    <x v="145"/>
    <d v="2026-05-31T00:00:00"/>
    <x v="6"/>
    <x v="0"/>
    <n v="229128.41"/>
    <n v="0"/>
    <n v="144922.34"/>
    <n v="2086"/>
    <n v="0"/>
    <s v="Híbrido"/>
    <n v="229128.41"/>
    <s v=""/>
  </r>
  <r>
    <s v="PRJ-0698"/>
    <s v="Revisão de RH 757"/>
    <x v="146"/>
    <x v="4"/>
    <x v="1"/>
    <x v="17"/>
    <d v="2026-06-04T00:00:00"/>
    <x v="6"/>
    <x v="0"/>
    <n v="259167.17"/>
    <n v="0"/>
    <n v="88171.59"/>
    <n v="2110"/>
    <n v="0"/>
    <s v="Cascata"/>
    <n v="259167.17"/>
    <s v=""/>
  </r>
  <r>
    <s v="PRJ-0699"/>
    <s v="Otimização de Financeiro 390"/>
    <x v="17"/>
    <x v="1"/>
    <x v="0"/>
    <x v="274"/>
    <d v="2026-07-20T00:00:00"/>
    <x v="302"/>
    <x v="97"/>
    <n v="59776.09"/>
    <n v="20732.38"/>
    <n v="48731.73"/>
    <n v="1864"/>
    <n v="561"/>
    <s v="Ágil"/>
    <n v="39043.709999999992"/>
    <n v="6"/>
  </r>
  <r>
    <s v="PRJ-0700"/>
    <s v="Revisão de Processos 115"/>
    <x v="121"/>
    <x v="4"/>
    <x v="1"/>
    <x v="302"/>
    <d v="2026-05-19T00:00:00"/>
    <x v="107"/>
    <x v="0"/>
    <n v="120213.6"/>
    <n v="60324.480000000003"/>
    <n v="247836.23"/>
    <n v="3333"/>
    <n v="2005"/>
    <s v="Híbrido"/>
    <n v="59889.120000000003"/>
    <s v=""/>
  </r>
  <r>
    <s v="PRJ-0701"/>
    <s v="Modernização de Segurança 781"/>
    <x v="31"/>
    <x v="4"/>
    <x v="3"/>
    <x v="56"/>
    <d v="2026-07-05T00:00:00"/>
    <x v="308"/>
    <x v="98"/>
    <n v="55835.69"/>
    <n v="56591.56"/>
    <n v="38620.300000000003"/>
    <n v="3423"/>
    <n v="3414"/>
    <s v="Cascata"/>
    <n v="-755.86999999999534"/>
    <n v="126"/>
  </r>
  <r>
    <s v="PRJ-0702"/>
    <s v="Revisão de RH 491"/>
    <x v="146"/>
    <x v="4"/>
    <x v="1"/>
    <x v="146"/>
    <d v="2026-11-30T00:00:00"/>
    <x v="269"/>
    <x v="0"/>
    <n v="73239.31"/>
    <n v="18498.18"/>
    <n v="36426.32"/>
    <n v="1887"/>
    <n v="436"/>
    <s v="Ágil"/>
    <n v="54741.13"/>
    <s v=""/>
  </r>
  <r>
    <s v="PRJ-0703"/>
    <s v="Integração de Financeiro 129"/>
    <x v="224"/>
    <x v="4"/>
    <x v="1"/>
    <x v="174"/>
    <d v="2026-07-24T00:00:00"/>
    <x v="129"/>
    <x v="0"/>
    <n v="50000"/>
    <n v="9746.43"/>
    <n v="92334.93"/>
    <n v="1203"/>
    <n v="328"/>
    <s v="Híbrido"/>
    <n v="40253.57"/>
    <s v=""/>
  </r>
  <r>
    <s v="PRJ-0704"/>
    <s v="Integração de Operações 200"/>
    <x v="190"/>
    <x v="3"/>
    <x v="0"/>
    <x v="103"/>
    <d v="2026-09-19T00:00:00"/>
    <x v="44"/>
    <x v="0"/>
    <n v="129210.72"/>
    <n v="52837.35"/>
    <n v="144749.87"/>
    <n v="2048"/>
    <n v="718"/>
    <s v="Cascata"/>
    <n v="76373.37"/>
    <s v=""/>
  </r>
  <r>
    <s v="PRJ-0705"/>
    <s v="Expansão de Dados 443"/>
    <x v="0"/>
    <x v="7"/>
    <x v="3"/>
    <x v="294"/>
    <d v="2026-12-23T00:00:00"/>
    <x v="66"/>
    <x v="0"/>
    <n v="194360.89"/>
    <n v="122346.55"/>
    <n v="322294.34999999998"/>
    <n v="1566"/>
    <n v="817"/>
    <s v="Ágil"/>
    <n v="72014.340000000011"/>
    <s v=""/>
  </r>
  <r>
    <s v="PRJ-0706"/>
    <s v="Padronização de Supply 626"/>
    <x v="8"/>
    <x v="9"/>
    <x v="3"/>
    <x v="82"/>
    <d v="2026-12-31T00:00:00"/>
    <x v="81"/>
    <x v="0"/>
    <n v="50000"/>
    <n v="23027.34"/>
    <n v="31827.87"/>
    <n v="1469"/>
    <n v="754"/>
    <s v="Híbrido"/>
    <n v="26972.66"/>
    <s v=""/>
  </r>
  <r>
    <s v="PRJ-0707"/>
    <s v="Revisão de Operações 927"/>
    <x v="237"/>
    <x v="9"/>
    <x v="0"/>
    <x v="224"/>
    <d v="2026-03-12T00:00:00"/>
    <x v="6"/>
    <x v="0"/>
    <n v="131864.67000000001"/>
    <n v="0"/>
    <n v="117115.74"/>
    <n v="728"/>
    <n v="0"/>
    <s v="Cascata"/>
    <n v="131864.67000000001"/>
    <s v=""/>
  </r>
  <r>
    <s v="PRJ-0708"/>
    <s v="Integração de Plataforma 680"/>
    <x v="149"/>
    <x v="2"/>
    <x v="3"/>
    <x v="67"/>
    <d v="2026-11-01T00:00:00"/>
    <x v="105"/>
    <x v="0"/>
    <n v="83300.06"/>
    <n v="81074.320000000007"/>
    <n v="109379.75"/>
    <n v="3321"/>
    <n v="3328"/>
    <s v="Ágil"/>
    <n v="2225.7399999999907"/>
    <s v=""/>
  </r>
  <r>
    <s v="PRJ-0709"/>
    <s v="Revisão de Supply 088"/>
    <x v="47"/>
    <x v="0"/>
    <x v="1"/>
    <x v="77"/>
    <d v="2026-12-21T00:00:00"/>
    <x v="149"/>
    <x v="0"/>
    <n v="339944.95"/>
    <n v="195373.4"/>
    <n v="332436.55"/>
    <n v="1185"/>
    <n v="613"/>
    <s v="Híbrido"/>
    <n v="144571.55000000002"/>
    <s v=""/>
  </r>
  <r>
    <s v="PRJ-0710"/>
    <s v="Otimização de Operações 913"/>
    <x v="4"/>
    <x v="5"/>
    <x v="3"/>
    <x v="303"/>
    <d v="2026-08-13T00:00:00"/>
    <x v="210"/>
    <x v="99"/>
    <n v="110354.78"/>
    <n v="108452.54"/>
    <n v="164032.16"/>
    <n v="1860"/>
    <n v="2022"/>
    <s v="Cascata"/>
    <n v="1902.2400000000052"/>
    <n v="130"/>
  </r>
  <r>
    <s v="PRJ-0711"/>
    <s v="Otimização de Atendimento 768"/>
    <x v="19"/>
    <x v="5"/>
    <x v="0"/>
    <x v="49"/>
    <d v="2026-11-11T00:00:00"/>
    <x v="242"/>
    <x v="0"/>
    <n v="50000"/>
    <n v="34312.22"/>
    <n v="20285.669999999998"/>
    <n v="1992"/>
    <n v="1458"/>
    <s v="Ágil"/>
    <n v="15687.779999999999"/>
    <s v=""/>
  </r>
  <r>
    <s v="PRJ-0712"/>
    <s v="Expansão de Supply 376"/>
    <x v="18"/>
    <x v="2"/>
    <x v="1"/>
    <x v="304"/>
    <d v="2026-05-24T00:00:00"/>
    <x v="239"/>
    <x v="0"/>
    <n v="174058.92"/>
    <n v="135916.20000000001"/>
    <n v="55864.800000000003"/>
    <n v="3423"/>
    <n v="2155"/>
    <s v="Híbrido"/>
    <n v="38142.720000000001"/>
    <s v=""/>
  </r>
  <r>
    <s v="PRJ-0713"/>
    <s v="Automação de Plataforma 249"/>
    <x v="44"/>
    <x v="3"/>
    <x v="1"/>
    <x v="33"/>
    <d v="2026-08-06T00:00:00"/>
    <x v="272"/>
    <x v="0"/>
    <n v="50000"/>
    <n v="39820.35"/>
    <n v="30449.69"/>
    <n v="810"/>
    <n v="510"/>
    <s v="Cascata"/>
    <n v="10179.650000000001"/>
    <s v=""/>
  </r>
  <r>
    <s v="PRJ-0714"/>
    <s v="Revisão de Plataforma 628"/>
    <x v="118"/>
    <x v="2"/>
    <x v="1"/>
    <x v="268"/>
    <d v="2026-04-11T00:00:00"/>
    <x v="231"/>
    <x v="0"/>
    <n v="50000"/>
    <n v="9804.0499999999993"/>
    <n v="27499.22"/>
    <n v="1948"/>
    <n v="382"/>
    <s v="Ágil"/>
    <n v="40195.949999999997"/>
    <s v=""/>
  </r>
  <r>
    <s v="PRJ-0715"/>
    <s v="Padronização de Segurança 726"/>
    <x v="41"/>
    <x v="5"/>
    <x v="2"/>
    <x v="41"/>
    <d v="2026-04-17T00:00:00"/>
    <x v="153"/>
    <x v="0"/>
    <n v="59307.96"/>
    <n v="28010.27"/>
    <n v="35611.58"/>
    <n v="1582"/>
    <n v="753"/>
    <s v="Híbrido"/>
    <n v="31297.69"/>
    <s v=""/>
  </r>
  <r>
    <s v="PRJ-0716"/>
    <s v="Integração de Plataforma 720"/>
    <x v="44"/>
    <x v="5"/>
    <x v="3"/>
    <x v="157"/>
    <d v="2026-06-10T00:00:00"/>
    <x v="46"/>
    <x v="93"/>
    <n v="163540.06"/>
    <n v="150471.53"/>
    <n v="289788.26"/>
    <n v="1704"/>
    <n v="1891"/>
    <s v="Cascata"/>
    <n v="13068.529999999999"/>
    <n v="41"/>
  </r>
  <r>
    <s v="PRJ-0717"/>
    <s v="Otimização de Atendimento 289"/>
    <x v="238"/>
    <x v="5"/>
    <x v="0"/>
    <x v="292"/>
    <d v="2026-12-31T00:00:00"/>
    <x v="157"/>
    <x v="0"/>
    <n v="84024.53"/>
    <n v="70073.23"/>
    <n v="178441.66"/>
    <n v="2285"/>
    <n v="1610"/>
    <s v="Ágil"/>
    <n v="13951.300000000003"/>
    <s v=""/>
  </r>
  <r>
    <s v="PRJ-0718"/>
    <s v="Modernização de Operações 269"/>
    <x v="168"/>
    <x v="9"/>
    <x v="3"/>
    <x v="231"/>
    <d v="2026-12-31T00:00:00"/>
    <x v="6"/>
    <x v="0"/>
    <n v="56723"/>
    <n v="0"/>
    <n v="109154.46"/>
    <n v="876"/>
    <n v="0"/>
    <s v="Híbrido"/>
    <n v="56723"/>
    <s v=""/>
  </r>
  <r>
    <s v="PRJ-0719"/>
    <s v="Expansão de RH 890"/>
    <x v="76"/>
    <x v="2"/>
    <x v="3"/>
    <x v="293"/>
    <d v="2026-06-22T00:00:00"/>
    <x v="275"/>
    <x v="0"/>
    <n v="54116.22"/>
    <n v="45640.02"/>
    <n v="72122.5"/>
    <n v="1737"/>
    <n v="1497"/>
    <s v="Cascata"/>
    <n v="8476.2000000000044"/>
    <s v=""/>
  </r>
  <r>
    <s v="PRJ-0720"/>
    <s v="Automação de Segurança 098"/>
    <x v="90"/>
    <x v="5"/>
    <x v="0"/>
    <x v="42"/>
    <d v="2026-09-20T00:00:00"/>
    <x v="163"/>
    <x v="100"/>
    <n v="53618.39"/>
    <n v="52649.31"/>
    <n v="82341.47"/>
    <n v="1686"/>
    <n v="1991"/>
    <s v="Ágil"/>
    <n v="969.08000000000175"/>
    <n v="64"/>
  </r>
  <r>
    <s v="PRJ-0721"/>
    <s v="Otimização de Supply 985"/>
    <x v="222"/>
    <x v="7"/>
    <x v="3"/>
    <x v="92"/>
    <d v="2026-12-31T00:00:00"/>
    <x v="134"/>
    <x v="0"/>
    <n v="115699.69"/>
    <n v="75627.77"/>
    <n v="249536.34"/>
    <n v="3829"/>
    <n v="2146"/>
    <s v="Híbrido"/>
    <n v="40071.919999999998"/>
    <s v=""/>
  </r>
  <r>
    <s v="PRJ-0722"/>
    <s v="Modernização de Operações 133"/>
    <x v="190"/>
    <x v="2"/>
    <x v="3"/>
    <x v="180"/>
    <d v="2026-10-01T00:00:00"/>
    <x v="213"/>
    <x v="0"/>
    <n v="320649.59000000003"/>
    <n v="215202"/>
    <n v="224766.65"/>
    <n v="1817"/>
    <n v="1160"/>
    <s v="Cascata"/>
    <n v="105447.59000000003"/>
    <s v=""/>
  </r>
  <r>
    <s v="PRJ-0723"/>
    <s v="Padronização de Atendimento 569"/>
    <x v="148"/>
    <x v="2"/>
    <x v="0"/>
    <x v="304"/>
    <d v="2026-03-09T00:00:00"/>
    <x v="70"/>
    <x v="0"/>
    <n v="155992.79"/>
    <n v="111192.62"/>
    <n v="124443.81"/>
    <n v="986"/>
    <n v="687"/>
    <s v="Ágil"/>
    <n v="44800.170000000013"/>
    <s v=""/>
  </r>
  <r>
    <s v="PRJ-0724"/>
    <s v="Modernização de Financeiro 769"/>
    <x v="39"/>
    <x v="2"/>
    <x v="2"/>
    <x v="52"/>
    <d v="2026-12-31T00:00:00"/>
    <x v="78"/>
    <x v="0"/>
    <n v="89268.41"/>
    <n v="70487.23"/>
    <n v="103758.56"/>
    <n v="1012"/>
    <n v="672"/>
    <s v="Híbrido"/>
    <n v="18781.180000000008"/>
    <s v=""/>
  </r>
  <r>
    <s v="PRJ-0725"/>
    <s v="Integração de Segurança 649"/>
    <x v="208"/>
    <x v="2"/>
    <x v="3"/>
    <x v="13"/>
    <d v="2026-06-01T00:00:00"/>
    <x v="263"/>
    <x v="101"/>
    <n v="118749.78"/>
    <n v="141418.47"/>
    <n v="171308.25"/>
    <n v="1815"/>
    <n v="1463"/>
    <s v="Cascata"/>
    <n v="-22668.690000000002"/>
    <n v="106"/>
  </r>
  <r>
    <s v="PRJ-0726"/>
    <s v="Otimização de Segurança 537"/>
    <x v="104"/>
    <x v="2"/>
    <x v="3"/>
    <x v="97"/>
    <d v="2026-12-31T00:00:00"/>
    <x v="102"/>
    <x v="102"/>
    <n v="50000"/>
    <n v="45260.55"/>
    <n v="78972.2"/>
    <n v="815"/>
    <n v="775"/>
    <s v="Ágil"/>
    <n v="4739.4499999999971"/>
    <n v="52"/>
  </r>
  <r>
    <s v="PRJ-0727"/>
    <s v="Expansão de Dados 161"/>
    <x v="153"/>
    <x v="6"/>
    <x v="3"/>
    <x v="56"/>
    <d v="2026-06-25T00:00:00"/>
    <x v="6"/>
    <x v="0"/>
    <n v="545844.43999999994"/>
    <n v="0"/>
    <n v="520333.16"/>
    <n v="1572"/>
    <n v="0"/>
    <s v="Híbrido"/>
    <n v="545844.43999999994"/>
    <s v=""/>
  </r>
  <r>
    <s v="PRJ-0728"/>
    <s v="Padronização de Supply 146"/>
    <x v="59"/>
    <x v="2"/>
    <x v="2"/>
    <x v="34"/>
    <d v="2026-09-21T00:00:00"/>
    <x v="252"/>
    <x v="0"/>
    <n v="68792.070000000007"/>
    <n v="40933.300000000003"/>
    <n v="56963.4"/>
    <n v="3263"/>
    <n v="1945"/>
    <s v="Cascata"/>
    <n v="27858.770000000004"/>
    <s v=""/>
  </r>
  <r>
    <s v="PRJ-0729"/>
    <s v="Modernização de Plataforma 144"/>
    <x v="133"/>
    <x v="4"/>
    <x v="3"/>
    <x v="99"/>
    <d v="2026-02-01T00:00:00"/>
    <x v="148"/>
    <x v="0"/>
    <n v="147161.87"/>
    <n v="34293.97"/>
    <n v="131160.32000000001"/>
    <n v="145"/>
    <n v="31"/>
    <s v="Ágil"/>
    <n v="112867.9"/>
    <s v=""/>
  </r>
  <r>
    <s v="PRJ-0730"/>
    <s v="Automação de Dados 843"/>
    <x v="229"/>
    <x v="4"/>
    <x v="2"/>
    <x v="95"/>
    <d v="2026-05-09T00:00:00"/>
    <x v="12"/>
    <x v="0"/>
    <n v="201491.43"/>
    <n v="73759.710000000006"/>
    <n v="255310.63"/>
    <n v="1420"/>
    <n v="599"/>
    <s v="Híbrido"/>
    <n v="127731.71999999999"/>
    <s v=""/>
  </r>
  <r>
    <s v="PRJ-0731"/>
    <s v="Integração de Relatórios 978"/>
    <x v="6"/>
    <x v="7"/>
    <x v="1"/>
    <x v="60"/>
    <d v="2026-12-31T00:00:00"/>
    <x v="108"/>
    <x v="0"/>
    <n v="85145.74"/>
    <n v="3758.93"/>
    <n v="69428.710000000006"/>
    <n v="551"/>
    <n v="31"/>
    <s v="Cascata"/>
    <n v="81386.810000000012"/>
    <s v=""/>
  </r>
  <r>
    <s v="PRJ-0732"/>
    <s v="Integração de Operações 504"/>
    <x v="195"/>
    <x v="2"/>
    <x v="3"/>
    <x v="305"/>
    <d v="2026-11-13T00:00:00"/>
    <x v="126"/>
    <x v="0"/>
    <n v="82781.279999999999"/>
    <n v="51242.879999999997"/>
    <n v="147288.65"/>
    <n v="4453"/>
    <n v="2656"/>
    <s v="Ágil"/>
    <n v="31538.400000000001"/>
    <s v=""/>
  </r>
  <r>
    <s v="PRJ-0733"/>
    <s v="Implantação de Supply 201"/>
    <x v="51"/>
    <x v="0"/>
    <x v="3"/>
    <x v="154"/>
    <d v="2026-05-09T00:00:00"/>
    <x v="309"/>
    <x v="0"/>
    <n v="79498.91"/>
    <n v="46837.13"/>
    <n v="78717.259999999995"/>
    <n v="3489"/>
    <n v="1969"/>
    <s v="Híbrido"/>
    <n v="32661.780000000006"/>
    <s v=""/>
  </r>
  <r>
    <s v="PRJ-0734"/>
    <s v="Implantação de Segurança 908"/>
    <x v="104"/>
    <x v="3"/>
    <x v="0"/>
    <x v="149"/>
    <d v="2026-12-25T00:00:00"/>
    <x v="310"/>
    <x v="0"/>
    <n v="352058.64"/>
    <n v="106704.17"/>
    <n v="248713.04"/>
    <n v="1049"/>
    <n v="301"/>
    <s v="Cascata"/>
    <n v="245354.47000000003"/>
    <s v=""/>
  </r>
  <r>
    <s v="PRJ-0735"/>
    <s v="Revisão de RH 401"/>
    <x v="98"/>
    <x v="2"/>
    <x v="1"/>
    <x v="143"/>
    <d v="2026-12-19T00:00:00"/>
    <x v="75"/>
    <x v="0"/>
    <n v="82263.759999999995"/>
    <n v="69418.61"/>
    <n v="172262.37"/>
    <n v="4544"/>
    <n v="4060"/>
    <s v="Ágil"/>
    <n v="12845.149999999994"/>
    <s v=""/>
  </r>
  <r>
    <s v="PRJ-0736"/>
    <s v="Expansão de Operações 985"/>
    <x v="162"/>
    <x v="7"/>
    <x v="3"/>
    <x v="193"/>
    <d v="2026-12-31T00:00:00"/>
    <x v="102"/>
    <x v="103"/>
    <n v="93703.360000000001"/>
    <n v="25515.68"/>
    <n v="53093.7"/>
    <n v="2139"/>
    <n v="543"/>
    <s v="Híbrido"/>
    <n v="68187.679999999993"/>
    <n v="1"/>
  </r>
  <r>
    <s v="PRJ-0737"/>
    <s v="Integração de Plataforma 942"/>
    <x v="216"/>
    <x v="9"/>
    <x v="1"/>
    <x v="118"/>
    <d v="2026-06-25T00:00:00"/>
    <x v="289"/>
    <x v="0"/>
    <n v="317686.55"/>
    <n v="182142"/>
    <n v="290618.84999999998"/>
    <n v="935"/>
    <n v="486"/>
    <s v="Cascata"/>
    <n v="135544.54999999999"/>
    <s v=""/>
  </r>
  <r>
    <s v="PRJ-0738"/>
    <s v="Expansão de Processos 039"/>
    <x v="50"/>
    <x v="5"/>
    <x v="1"/>
    <x v="35"/>
    <d v="2026-12-31T00:00:00"/>
    <x v="278"/>
    <x v="0"/>
    <n v="69697.14"/>
    <n v="18458.36"/>
    <n v="48926.58"/>
    <n v="2303"/>
    <n v="649"/>
    <s v="Ágil"/>
    <n v="51238.78"/>
    <s v=""/>
  </r>
  <r>
    <s v="PRJ-0739"/>
    <s v="Integração de RH 830"/>
    <x v="30"/>
    <x v="7"/>
    <x v="1"/>
    <x v="118"/>
    <d v="2026-06-17T00:00:00"/>
    <x v="62"/>
    <x v="104"/>
    <n v="50000"/>
    <n v="59317.78"/>
    <n v="19763.68"/>
    <n v="517"/>
    <n v="561"/>
    <s v="Híbrido"/>
    <n v="-9317.7799999999988"/>
    <n v="25"/>
  </r>
  <r>
    <s v="PRJ-0740"/>
    <s v="Revisão de Dados 554"/>
    <x v="185"/>
    <x v="1"/>
    <x v="3"/>
    <x v="249"/>
    <d v="2026-04-21T00:00:00"/>
    <x v="311"/>
    <x v="0"/>
    <n v="173269.43"/>
    <n v="70894.06"/>
    <n v="119676.5"/>
    <n v="4285"/>
    <n v="1861"/>
    <s v="Cascata"/>
    <n v="102375.37"/>
    <s v=""/>
  </r>
  <r>
    <s v="PRJ-0741"/>
    <s v="Revisão de Supply 661"/>
    <x v="67"/>
    <x v="2"/>
    <x v="1"/>
    <x v="214"/>
    <d v="2026-06-12T00:00:00"/>
    <x v="312"/>
    <x v="0"/>
    <n v="50000"/>
    <n v="36146.080000000002"/>
    <n v="54066.6"/>
    <n v="3371"/>
    <n v="2010"/>
    <s v="Ágil"/>
    <n v="13853.919999999998"/>
    <s v=""/>
  </r>
  <r>
    <s v="PRJ-0742"/>
    <s v="Expansão de Plataforma 844"/>
    <x v="169"/>
    <x v="4"/>
    <x v="0"/>
    <x v="265"/>
    <d v="2026-12-14T00:00:00"/>
    <x v="136"/>
    <x v="88"/>
    <n v="90025.600000000006"/>
    <n v="100974.05"/>
    <n v="169358.77"/>
    <n v="935"/>
    <n v="1105"/>
    <s v="Híbrido"/>
    <n v="-10948.449999999997"/>
    <n v="55"/>
  </r>
  <r>
    <s v="PRJ-0743"/>
    <s v="Expansão de Segurança 591"/>
    <x v="150"/>
    <x v="4"/>
    <x v="3"/>
    <x v="306"/>
    <d v="2026-07-13T00:00:00"/>
    <x v="312"/>
    <x v="0"/>
    <n v="62908.23"/>
    <n v="36470.32"/>
    <n v="128028.73"/>
    <n v="2237"/>
    <n v="1220"/>
    <s v="Cascata"/>
    <n v="26437.910000000003"/>
    <s v=""/>
  </r>
  <r>
    <s v="PRJ-0744"/>
    <s v="Expansão de Atendimento 846"/>
    <x v="170"/>
    <x v="0"/>
    <x v="3"/>
    <x v="194"/>
    <d v="2026-04-24T00:00:00"/>
    <x v="153"/>
    <x v="105"/>
    <n v="85741.53"/>
    <n v="87451.83"/>
    <n v="72784.77"/>
    <n v="1644"/>
    <n v="1678"/>
    <s v="Ágil"/>
    <n v="-1710.3000000000029"/>
    <n v="110"/>
  </r>
  <r>
    <s v="PRJ-0745"/>
    <s v="Implantação de Supply 398"/>
    <x v="56"/>
    <x v="0"/>
    <x v="1"/>
    <x v="155"/>
    <d v="2026-03-28T00:00:00"/>
    <x v="260"/>
    <x v="0"/>
    <n v="50000"/>
    <n v="36829.67"/>
    <n v="48197.53"/>
    <n v="808"/>
    <n v="664"/>
    <s v="Híbrido"/>
    <n v="13170.330000000002"/>
    <s v=""/>
  </r>
  <r>
    <s v="PRJ-0746"/>
    <s v="Modernização de Financeiro 706"/>
    <x v="13"/>
    <x v="8"/>
    <x v="3"/>
    <x v="199"/>
    <d v="2026-12-31T00:00:00"/>
    <x v="268"/>
    <x v="0"/>
    <n v="158478.49"/>
    <n v="48785.26"/>
    <n v="87963.96"/>
    <n v="347"/>
    <n v="100"/>
    <s v="Cascata"/>
    <n v="109693.22999999998"/>
    <s v=""/>
  </r>
  <r>
    <s v="PRJ-0747"/>
    <s v="Padronização de Processos 331"/>
    <x v="36"/>
    <x v="2"/>
    <x v="2"/>
    <x v="307"/>
    <d v="2026-08-08T00:00:00"/>
    <x v="164"/>
    <x v="106"/>
    <n v="190543.08"/>
    <n v="140056.26999999999"/>
    <n v="114251.25"/>
    <n v="2379"/>
    <n v="1462"/>
    <s v="Ágil"/>
    <n v="50486.81"/>
    <n v="34"/>
  </r>
  <r>
    <s v="PRJ-0748"/>
    <s v="Otimização de Atendimento 600"/>
    <x v="32"/>
    <x v="7"/>
    <x v="3"/>
    <x v="134"/>
    <d v="2026-02-20T00:00:00"/>
    <x v="214"/>
    <x v="0"/>
    <n v="81302.62"/>
    <n v="41711.32"/>
    <n v="119562.6"/>
    <n v="916"/>
    <n v="585"/>
    <s v="Híbrido"/>
    <n v="39591.299999999996"/>
    <s v=""/>
  </r>
  <r>
    <s v="PRJ-0749"/>
    <s v="Otimização de Financeiro 795"/>
    <x v="142"/>
    <x v="7"/>
    <x v="2"/>
    <x v="9"/>
    <d v="2026-07-30T00:00:00"/>
    <x v="313"/>
    <x v="0"/>
    <n v="90840.85"/>
    <n v="59588.34"/>
    <n v="44665.42"/>
    <n v="920"/>
    <n v="673"/>
    <s v="Cascata"/>
    <n v="31252.510000000009"/>
    <s v=""/>
  </r>
  <r>
    <s v="PRJ-0750"/>
    <s v="Padronização de RH 376"/>
    <x v="11"/>
    <x v="9"/>
    <x v="1"/>
    <x v="122"/>
    <d v="2026-12-31T00:00:00"/>
    <x v="90"/>
    <x v="0"/>
    <n v="126562.78"/>
    <n v="105679.03999999999"/>
    <n v="97775.27"/>
    <n v="5921"/>
    <n v="5127"/>
    <s v="Ágil"/>
    <n v="20883.740000000005"/>
    <s v=""/>
  </r>
  <r>
    <s v="PRJ-0751"/>
    <s v="Integração de Relatórios 124"/>
    <x v="140"/>
    <x v="4"/>
    <x v="3"/>
    <x v="35"/>
    <d v="2026-10-27T00:00:00"/>
    <x v="85"/>
    <x v="0"/>
    <n v="65074.35"/>
    <n v="36628.870000000003"/>
    <n v="118672.76"/>
    <n v="336"/>
    <n v="222"/>
    <s v="Híbrido"/>
    <n v="28445.479999999996"/>
    <s v=""/>
  </r>
  <r>
    <s v="PRJ-0752"/>
    <s v="Expansão de Processos 381"/>
    <x v="212"/>
    <x v="0"/>
    <x v="0"/>
    <x v="6"/>
    <d v="2026-08-19T00:00:00"/>
    <x v="22"/>
    <x v="107"/>
    <n v="53809.32"/>
    <n v="1856.6"/>
    <n v="87246.63"/>
    <n v="2253"/>
    <n v="86"/>
    <s v="Cascata"/>
    <n v="51952.72"/>
    <n v="87"/>
  </r>
  <r>
    <s v="PRJ-0753"/>
    <s v="Automação de Financeiro 567"/>
    <x v="163"/>
    <x v="9"/>
    <x v="3"/>
    <x v="79"/>
    <d v="2026-06-27T00:00:00"/>
    <x v="28"/>
    <x v="0"/>
    <n v="197648.28"/>
    <n v="193917.6"/>
    <n v="160689.93"/>
    <n v="307"/>
    <n v="215"/>
    <s v="Ágil"/>
    <n v="3730.679999999993"/>
    <s v=""/>
  </r>
  <r>
    <s v="PRJ-0754"/>
    <s v="Otimização de Financeiro 044"/>
    <x v="219"/>
    <x v="5"/>
    <x v="0"/>
    <x v="273"/>
    <d v="2026-05-17T00:00:00"/>
    <x v="266"/>
    <x v="0"/>
    <n v="166131.35999999999"/>
    <n v="37183.410000000003"/>
    <n v="125697.23"/>
    <n v="3737"/>
    <n v="976"/>
    <s v="Híbrido"/>
    <n v="128947.94999999998"/>
    <s v=""/>
  </r>
  <r>
    <s v="PRJ-0755"/>
    <s v="Implantação de RH 792"/>
    <x v="156"/>
    <x v="9"/>
    <x v="0"/>
    <x v="169"/>
    <d v="2026-05-31T00:00:00"/>
    <x v="296"/>
    <x v="0"/>
    <n v="62105.01"/>
    <n v="59891.13"/>
    <n v="135678.37"/>
    <n v="4017"/>
    <n v="3309"/>
    <s v="Cascata"/>
    <n v="2213.8800000000047"/>
    <s v=""/>
  </r>
  <r>
    <s v="PRJ-0756"/>
    <s v="Revisão de Atendimento 876"/>
    <x v="116"/>
    <x v="1"/>
    <x v="3"/>
    <x v="206"/>
    <d v="2026-03-02T00:00:00"/>
    <x v="107"/>
    <x v="0"/>
    <n v="50000"/>
    <n v="20283.78"/>
    <n v="15745.27"/>
    <n v="401"/>
    <n v="190"/>
    <s v="Ágil"/>
    <n v="29716.22"/>
    <s v=""/>
  </r>
  <r>
    <s v="PRJ-0757"/>
    <s v="Modernização de Atendimento 645"/>
    <x v="125"/>
    <x v="7"/>
    <x v="0"/>
    <x v="97"/>
    <d v="2026-12-26T00:00:00"/>
    <x v="184"/>
    <x v="0"/>
    <n v="61211.79"/>
    <n v="25317.42"/>
    <n v="52596.94"/>
    <n v="1842"/>
    <n v="817"/>
    <s v="Híbrido"/>
    <n v="35894.370000000003"/>
    <s v=""/>
  </r>
  <r>
    <s v="PRJ-0758"/>
    <s v="Integração de Operações 912"/>
    <x v="72"/>
    <x v="8"/>
    <x v="3"/>
    <x v="297"/>
    <d v="2026-07-21T00:00:00"/>
    <x v="1"/>
    <x v="108"/>
    <n v="446581.52"/>
    <n v="510722.07"/>
    <n v="570909.80000000005"/>
    <n v="219"/>
    <n v="238"/>
    <s v="Cascata"/>
    <n v="-64140.549999999988"/>
    <n v="13"/>
  </r>
  <r>
    <s v="PRJ-0759"/>
    <s v="Padronização de Supply 252"/>
    <x v="67"/>
    <x v="6"/>
    <x v="0"/>
    <x v="136"/>
    <d v="2026-12-05T00:00:00"/>
    <x v="25"/>
    <x v="0"/>
    <n v="50000"/>
    <n v="18722.560000000001"/>
    <n v="77879.600000000006"/>
    <n v="1388"/>
    <n v="661"/>
    <s v="Ágil"/>
    <n v="31277.439999999999"/>
    <s v=""/>
  </r>
  <r>
    <s v="PRJ-0760"/>
    <s v="Implantação de Dados 582"/>
    <x v="95"/>
    <x v="8"/>
    <x v="3"/>
    <x v="238"/>
    <d v="2026-09-01T00:00:00"/>
    <x v="44"/>
    <x v="0"/>
    <n v="121721.21"/>
    <n v="84038.86"/>
    <n v="112188.01"/>
    <n v="2150"/>
    <n v="1678"/>
    <s v="Híbrido"/>
    <n v="37682.350000000006"/>
    <s v=""/>
  </r>
  <r>
    <s v="PRJ-0761"/>
    <s v="Modernização de Atendimento 111"/>
    <x v="107"/>
    <x v="8"/>
    <x v="2"/>
    <x v="279"/>
    <d v="2026-09-05T00:00:00"/>
    <x v="37"/>
    <x v="0"/>
    <n v="50000"/>
    <n v="56770.559999999998"/>
    <n v="23674.34"/>
    <n v="754"/>
    <n v="659"/>
    <s v="Cascata"/>
    <n v="-6770.5599999999977"/>
    <s v=""/>
  </r>
  <r>
    <s v="PRJ-0762"/>
    <s v="Integração de Segurança 226"/>
    <x v="231"/>
    <x v="8"/>
    <x v="0"/>
    <x v="36"/>
    <d v="2026-12-31T00:00:00"/>
    <x v="168"/>
    <x v="0"/>
    <n v="433189.46"/>
    <n v="195074.43"/>
    <n v="646534.26"/>
    <n v="609"/>
    <n v="230"/>
    <s v="Ágil"/>
    <n v="238115.03000000003"/>
    <s v=""/>
  </r>
  <r>
    <s v="PRJ-0763"/>
    <s v="Automação de Plataforma 585"/>
    <x v="5"/>
    <x v="1"/>
    <x v="2"/>
    <x v="230"/>
    <d v="2026-12-01T00:00:00"/>
    <x v="112"/>
    <x v="0"/>
    <n v="169144.21"/>
    <n v="143806.66"/>
    <n v="225153.33"/>
    <n v="317"/>
    <n v="333"/>
    <s v="Híbrido"/>
    <n v="25337.549999999988"/>
    <s v=""/>
  </r>
  <r>
    <s v="PRJ-0764"/>
    <s v="Expansão de RH 219"/>
    <x v="127"/>
    <x v="7"/>
    <x v="1"/>
    <x v="306"/>
    <d v="2026-05-07T00:00:00"/>
    <x v="217"/>
    <x v="0"/>
    <n v="503579.94"/>
    <n v="350650.62"/>
    <n v="206612.83"/>
    <n v="828"/>
    <n v="585"/>
    <s v="Cascata"/>
    <n v="152929.32"/>
    <s v=""/>
  </r>
  <r>
    <s v="PRJ-0765"/>
    <s v="Revisão de Processos 512"/>
    <x v="166"/>
    <x v="0"/>
    <x v="0"/>
    <x v="308"/>
    <d v="2026-08-18T00:00:00"/>
    <x v="13"/>
    <x v="0"/>
    <n v="78929.460000000006"/>
    <n v="5886.86"/>
    <n v="167860.82"/>
    <n v="1484"/>
    <n v="156"/>
    <s v="Ágil"/>
    <n v="73042.600000000006"/>
    <s v=""/>
  </r>
  <r>
    <s v="PRJ-0766"/>
    <s v="Implantação de Segurança 389"/>
    <x v="234"/>
    <x v="3"/>
    <x v="3"/>
    <x v="309"/>
    <d v="2026-12-31T00:00:00"/>
    <x v="168"/>
    <x v="0"/>
    <n v="50000"/>
    <n v="26981.69"/>
    <n v="43556.160000000003"/>
    <n v="133"/>
    <n v="70"/>
    <s v="Híbrido"/>
    <n v="23018.31"/>
    <s v=""/>
  </r>
  <r>
    <s v="PRJ-0767"/>
    <s v="Implantação de Supply 235"/>
    <x v="51"/>
    <x v="9"/>
    <x v="3"/>
    <x v="138"/>
    <d v="2026-12-31T00:00:00"/>
    <x v="20"/>
    <x v="0"/>
    <n v="50000"/>
    <n v="29415.01"/>
    <n v="65113.88"/>
    <n v="757"/>
    <n v="520"/>
    <s v="Cascata"/>
    <n v="20584.990000000002"/>
    <s v=""/>
  </r>
  <r>
    <s v="PRJ-0768"/>
    <s v="Otimização de Atendimento 082"/>
    <x v="20"/>
    <x v="8"/>
    <x v="1"/>
    <x v="310"/>
    <d v="2026-12-07T00:00:00"/>
    <x v="314"/>
    <x v="0"/>
    <n v="332857.28000000003"/>
    <n v="203491.3"/>
    <n v="469787.65"/>
    <n v="3428"/>
    <n v="1875"/>
    <s v="Ágil"/>
    <n v="129365.98000000004"/>
    <s v=""/>
  </r>
  <r>
    <s v="PRJ-0769"/>
    <s v="Automação de Atendimento 562"/>
    <x v="172"/>
    <x v="7"/>
    <x v="3"/>
    <x v="223"/>
    <d v="2026-11-20T00:00:00"/>
    <x v="249"/>
    <x v="0"/>
    <n v="59671.69"/>
    <n v="37408.339999999997"/>
    <n v="56400.08"/>
    <n v="1816"/>
    <n v="1461"/>
    <s v="Híbrido"/>
    <n v="22263.350000000006"/>
    <s v=""/>
  </r>
  <r>
    <s v="PRJ-0770"/>
    <s v="Automação de Segurança 806"/>
    <x v="208"/>
    <x v="5"/>
    <x v="1"/>
    <x v="44"/>
    <d v="2026-04-27T00:00:00"/>
    <x v="177"/>
    <x v="0"/>
    <n v="122763.42"/>
    <n v="94115.25"/>
    <n v="220236.12"/>
    <n v="2081"/>
    <n v="1481"/>
    <s v="Cascata"/>
    <n v="28648.17"/>
    <s v=""/>
  </r>
  <r>
    <s v="PRJ-0771"/>
    <s v="Implantação de RH 252"/>
    <x v="79"/>
    <x v="5"/>
    <x v="3"/>
    <x v="181"/>
    <d v="2026-04-02T00:00:00"/>
    <x v="65"/>
    <x v="0"/>
    <n v="168644.92"/>
    <n v="103354.94"/>
    <n v="191752.58"/>
    <n v="1010"/>
    <n v="499"/>
    <s v="Ágil"/>
    <n v="65289.98000000001"/>
    <s v=""/>
  </r>
  <r>
    <s v="PRJ-0772"/>
    <s v="Padronização de Dados 363"/>
    <x v="93"/>
    <x v="0"/>
    <x v="1"/>
    <x v="194"/>
    <d v="2026-04-18T00:00:00"/>
    <x v="6"/>
    <x v="0"/>
    <n v="64455.54"/>
    <n v="0"/>
    <n v="101807.49"/>
    <n v="2694"/>
    <n v="0"/>
    <s v="Híbrido"/>
    <n v="64455.54"/>
    <s v=""/>
  </r>
  <r>
    <s v="PRJ-0773"/>
    <s v="Expansão de Atendimento 383"/>
    <x v="16"/>
    <x v="3"/>
    <x v="3"/>
    <x v="260"/>
    <d v="2026-02-02T00:00:00"/>
    <x v="173"/>
    <x v="0"/>
    <n v="50000"/>
    <n v="22911.84"/>
    <n v="107459.77"/>
    <n v="405"/>
    <n v="182"/>
    <s v="Cascata"/>
    <n v="27088.16"/>
    <s v=""/>
  </r>
  <r>
    <s v="PRJ-0774"/>
    <s v="Integração de RH 259"/>
    <x v="76"/>
    <x v="7"/>
    <x v="0"/>
    <x v="301"/>
    <d v="2026-12-31T00:00:00"/>
    <x v="281"/>
    <x v="0"/>
    <n v="51649.17"/>
    <n v="19033.05"/>
    <n v="49248.78"/>
    <n v="1183"/>
    <n v="479"/>
    <s v="Ágil"/>
    <n v="32616.12"/>
    <s v=""/>
  </r>
  <r>
    <s v="PRJ-0775"/>
    <s v="Expansão de Plataforma 613"/>
    <x v="77"/>
    <x v="7"/>
    <x v="3"/>
    <x v="86"/>
    <d v="2026-06-30T00:00:00"/>
    <x v="111"/>
    <x v="0"/>
    <n v="181849.47"/>
    <n v="92426.29"/>
    <n v="391195.22"/>
    <n v="2669"/>
    <n v="1436"/>
    <s v="Híbrido"/>
    <n v="89423.180000000008"/>
    <s v=""/>
  </r>
  <r>
    <s v="PRJ-0776"/>
    <s v="Otimização de Processos 522"/>
    <x v="134"/>
    <x v="4"/>
    <x v="1"/>
    <x v="9"/>
    <d v="2026-08-19T00:00:00"/>
    <x v="315"/>
    <x v="43"/>
    <n v="108518.95"/>
    <n v="129009.36"/>
    <n v="143909.68"/>
    <n v="1378"/>
    <n v="1124"/>
    <s v="Cascata"/>
    <n v="-20490.410000000003"/>
    <n v="79"/>
  </r>
  <r>
    <s v="PRJ-0777"/>
    <s v="Modernização de Relatórios 956"/>
    <x v="99"/>
    <x v="2"/>
    <x v="3"/>
    <x v="90"/>
    <d v="2026-11-06T00:00:00"/>
    <x v="315"/>
    <x v="0"/>
    <n v="50000"/>
    <n v="24353.64"/>
    <n v="24392.3"/>
    <n v="9199"/>
    <n v="4377"/>
    <s v="Ágil"/>
    <n v="25646.36"/>
    <s v=""/>
  </r>
  <r>
    <s v="PRJ-0778"/>
    <s v="Expansão de Relatórios 438"/>
    <x v="235"/>
    <x v="7"/>
    <x v="1"/>
    <x v="31"/>
    <d v="2026-07-06T00:00:00"/>
    <x v="62"/>
    <x v="0"/>
    <n v="80387.37"/>
    <n v="51654.86"/>
    <n v="109728.13"/>
    <n v="1100"/>
    <n v="584"/>
    <s v="Híbrido"/>
    <n v="28732.509999999995"/>
    <s v=""/>
  </r>
  <r>
    <s v="PRJ-0779"/>
    <s v="Modernização de RH 832"/>
    <x v="206"/>
    <x v="8"/>
    <x v="1"/>
    <x v="311"/>
    <d v="2026-12-17T00:00:00"/>
    <x v="126"/>
    <x v="56"/>
    <n v="244346.14"/>
    <n v="297095.17"/>
    <n v="386418.28"/>
    <n v="4057"/>
    <n v="4571"/>
    <s v="Cascata"/>
    <n v="-52749.02999999997"/>
    <n v="76"/>
  </r>
  <r>
    <s v="PRJ-0780"/>
    <s v="Integração de Segurança 835"/>
    <x v="90"/>
    <x v="2"/>
    <x v="2"/>
    <x v="283"/>
    <d v="2026-12-31T00:00:00"/>
    <x v="114"/>
    <x v="0"/>
    <n v="95767.65"/>
    <n v="53620.05"/>
    <n v="156440.15"/>
    <n v="631"/>
    <n v="363"/>
    <s v="Ágil"/>
    <n v="42147.599999999991"/>
    <s v=""/>
  </r>
  <r>
    <s v="PRJ-0781"/>
    <s v="Padronização de Relatórios 949"/>
    <x v="154"/>
    <x v="7"/>
    <x v="3"/>
    <x v="57"/>
    <d v="2026-06-07T00:00:00"/>
    <x v="55"/>
    <x v="0"/>
    <n v="58628.14"/>
    <n v="2727.23"/>
    <n v="96964.97"/>
    <n v="3893"/>
    <n v="196"/>
    <s v="Híbrido"/>
    <n v="55900.909999999996"/>
    <s v=""/>
  </r>
  <r>
    <s v="PRJ-0782"/>
    <s v="Automação de Financeiro 485"/>
    <x v="52"/>
    <x v="4"/>
    <x v="3"/>
    <x v="204"/>
    <d v="2026-06-18T00:00:00"/>
    <x v="223"/>
    <x v="0"/>
    <n v="73940.490000000005"/>
    <n v="3240.69"/>
    <n v="36924.730000000003"/>
    <n v="793"/>
    <n v="35"/>
    <s v="Cascata"/>
    <n v="70699.8"/>
    <s v=""/>
  </r>
  <r>
    <s v="PRJ-0783"/>
    <s v="Modernização de Plataforma 085"/>
    <x v="118"/>
    <x v="2"/>
    <x v="3"/>
    <x v="285"/>
    <d v="2026-07-26T00:00:00"/>
    <x v="243"/>
    <x v="52"/>
    <n v="82542.350000000006"/>
    <n v="48014.14"/>
    <n v="138737.76999999999"/>
    <n v="1303"/>
    <n v="738"/>
    <s v="Ágil"/>
    <n v="34528.210000000006"/>
    <n v="29"/>
  </r>
  <r>
    <s v="PRJ-0784"/>
    <s v="Modernização de Processos 170"/>
    <x v="35"/>
    <x v="5"/>
    <x v="3"/>
    <x v="114"/>
    <d v="2026-06-06T00:00:00"/>
    <x v="65"/>
    <x v="64"/>
    <n v="77993.62"/>
    <n v="34625.980000000003"/>
    <n v="82031.570000000007"/>
    <n v="579"/>
    <n v="336"/>
    <s v="Híbrido"/>
    <n v="43367.639999999992"/>
    <n v="79"/>
  </r>
  <r>
    <s v="PRJ-0785"/>
    <s v="Implantação de Relatórios 067"/>
    <x v="7"/>
    <x v="0"/>
    <x v="2"/>
    <x v="248"/>
    <d v="2026-07-24T00:00:00"/>
    <x v="6"/>
    <x v="0"/>
    <n v="175222.32"/>
    <n v="0"/>
    <n v="192127.77"/>
    <n v="4134"/>
    <n v="0"/>
    <s v="Cascata"/>
    <n v="175222.32"/>
    <s v=""/>
  </r>
  <r>
    <s v="PRJ-0786"/>
    <s v="Implantação de Atendimento 670"/>
    <x v="172"/>
    <x v="8"/>
    <x v="3"/>
    <x v="126"/>
    <d v="2026-12-31T00:00:00"/>
    <x v="6"/>
    <x v="0"/>
    <n v="70455.33"/>
    <n v="0"/>
    <n v="97281.59"/>
    <n v="408"/>
    <n v="0"/>
    <s v="Ágil"/>
    <n v="70455.33"/>
    <s v=""/>
  </r>
  <r>
    <s v="PRJ-0787"/>
    <s v="Revisão de Supply 594"/>
    <x v="232"/>
    <x v="6"/>
    <x v="0"/>
    <x v="260"/>
    <d v="2026-03-28T00:00:00"/>
    <x v="80"/>
    <x v="0"/>
    <n v="117532.98"/>
    <n v="121286.63"/>
    <n v="226267.28"/>
    <n v="3413"/>
    <n v="2803"/>
    <s v="Híbrido"/>
    <n v="-3753.6500000000087"/>
    <s v=""/>
  </r>
  <r>
    <s v="PRJ-0788"/>
    <s v="Modernização de Processos 033"/>
    <x v="147"/>
    <x v="3"/>
    <x v="1"/>
    <x v="77"/>
    <d v="2026-11-28T00:00:00"/>
    <x v="184"/>
    <x v="109"/>
    <n v="120668.55"/>
    <n v="123746.19"/>
    <n v="89867.27"/>
    <n v="878"/>
    <n v="940"/>
    <s v="Cascata"/>
    <n v="-3077.6399999999994"/>
    <n v="37"/>
  </r>
  <r>
    <s v="PRJ-0789"/>
    <s v="Automação de Atendimento 426"/>
    <x v="126"/>
    <x v="5"/>
    <x v="3"/>
    <x v="237"/>
    <d v="2026-05-15T00:00:00"/>
    <x v="275"/>
    <x v="0"/>
    <n v="50000"/>
    <n v="25277.599999999999"/>
    <n v="84239.24"/>
    <n v="1402"/>
    <n v="720"/>
    <s v="Ágil"/>
    <n v="24722.400000000001"/>
    <s v=""/>
  </r>
  <r>
    <s v="PRJ-0790"/>
    <s v="Revisão de Supply 003"/>
    <x v="205"/>
    <x v="2"/>
    <x v="1"/>
    <x v="131"/>
    <d v="2026-06-18T00:00:00"/>
    <x v="240"/>
    <x v="0"/>
    <n v="253926.57"/>
    <n v="89482.11"/>
    <n v="538711.75"/>
    <n v="1119"/>
    <n v="376"/>
    <s v="Híbrido"/>
    <n v="164444.46000000002"/>
    <s v=""/>
  </r>
  <r>
    <s v="PRJ-0791"/>
    <s v="Implantação de Dados 774"/>
    <x v="114"/>
    <x v="4"/>
    <x v="1"/>
    <x v="63"/>
    <d v="2026-11-12T00:00:00"/>
    <x v="128"/>
    <x v="0"/>
    <n v="55649.13"/>
    <n v="13925.49"/>
    <n v="23532.04"/>
    <n v="1296"/>
    <n v="278"/>
    <s v="Cascata"/>
    <n v="41723.64"/>
    <s v=""/>
  </r>
  <r>
    <s v="PRJ-0792"/>
    <s v="Implantação de Financeiro 272"/>
    <x v="33"/>
    <x v="8"/>
    <x v="1"/>
    <x v="180"/>
    <d v="2026-08-22T00:00:00"/>
    <x v="179"/>
    <x v="110"/>
    <n v="50000"/>
    <n v="25722.93"/>
    <n v="65960.81"/>
    <n v="543"/>
    <n v="261"/>
    <s v="Ágil"/>
    <n v="24277.07"/>
    <n v="10"/>
  </r>
  <r>
    <s v="PRJ-0793"/>
    <s v="Otimização de RH 595"/>
    <x v="198"/>
    <x v="6"/>
    <x v="1"/>
    <x v="249"/>
    <d v="2026-04-10T00:00:00"/>
    <x v="316"/>
    <x v="0"/>
    <n v="92712.24"/>
    <n v="51194.03"/>
    <n v="127585.24"/>
    <n v="2089"/>
    <n v="1017"/>
    <s v="Híbrido"/>
    <n v="41518.210000000006"/>
    <s v=""/>
  </r>
  <r>
    <s v="PRJ-0794"/>
    <s v="Otimização de Plataforma 133"/>
    <x v="65"/>
    <x v="4"/>
    <x v="0"/>
    <x v="64"/>
    <d v="2026-09-08T00:00:00"/>
    <x v="169"/>
    <x v="99"/>
    <n v="50000"/>
    <n v="52697.85"/>
    <n v="96987.56"/>
    <n v="1230"/>
    <n v="1006"/>
    <s v="Cascata"/>
    <n v="-2697.8499999999985"/>
    <n v="77"/>
  </r>
  <r>
    <s v="PRJ-0795"/>
    <s v="Modernização de Processos 977"/>
    <x v="128"/>
    <x v="8"/>
    <x v="3"/>
    <x v="192"/>
    <d v="2026-06-12T00:00:00"/>
    <x v="193"/>
    <x v="0"/>
    <n v="440128.39"/>
    <n v="42225.1"/>
    <n v="492222.68"/>
    <n v="2894"/>
    <n v="284"/>
    <s v="Ágil"/>
    <n v="397903.29000000004"/>
    <s v=""/>
  </r>
  <r>
    <s v="PRJ-0796"/>
    <s v="Expansão de Segurança 559"/>
    <x v="100"/>
    <x v="8"/>
    <x v="1"/>
    <x v="143"/>
    <d v="2026-11-19T00:00:00"/>
    <x v="133"/>
    <x v="0"/>
    <n v="50000"/>
    <n v="18360.64"/>
    <n v="45236.27"/>
    <n v="1401"/>
    <n v="543"/>
    <s v="Híbrido"/>
    <n v="31639.360000000001"/>
    <s v=""/>
  </r>
  <r>
    <s v="PRJ-0797"/>
    <s v="Expansão de Segurança 172"/>
    <x v="160"/>
    <x v="1"/>
    <x v="2"/>
    <x v="267"/>
    <d v="2026-12-31T00:00:00"/>
    <x v="126"/>
    <x v="0"/>
    <n v="166895.85"/>
    <n v="128287.05"/>
    <n v="282569.55"/>
    <n v="3189"/>
    <n v="2412"/>
    <s v="Cascata"/>
    <n v="38608.800000000003"/>
    <s v=""/>
  </r>
  <r>
    <s v="PRJ-0798"/>
    <s v="Revisão de Processos 681"/>
    <x v="35"/>
    <x v="7"/>
    <x v="2"/>
    <x v="209"/>
    <d v="2026-10-30T00:00:00"/>
    <x v="90"/>
    <x v="111"/>
    <n v="79626.539999999994"/>
    <n v="69432.86"/>
    <n v="50607.92"/>
    <n v="2926"/>
    <n v="2653"/>
    <s v="Ágil"/>
    <n v="10193.679999999993"/>
    <n v="82"/>
  </r>
  <r>
    <s v="PRJ-0799"/>
    <s v="Otimização de Supply 252"/>
    <x v="200"/>
    <x v="3"/>
    <x v="2"/>
    <x v="136"/>
    <d v="2026-12-31T00:00:00"/>
    <x v="6"/>
    <x v="0"/>
    <n v="50000"/>
    <n v="0"/>
    <n v="32492.35"/>
    <n v="5007"/>
    <n v="0"/>
    <s v="Híbrido"/>
    <n v="50000"/>
    <s v=""/>
  </r>
  <r>
    <s v="PRJ-0800"/>
    <s v="Padronização de Atendimento 757"/>
    <x v="239"/>
    <x v="3"/>
    <x v="1"/>
    <x v="98"/>
    <d v="2026-12-31T00:00:00"/>
    <x v="92"/>
    <x v="3"/>
    <n v="195773.69"/>
    <n v="192139.51999999999"/>
    <n v="98869.8"/>
    <n v="542"/>
    <n v="619"/>
    <s v="Cascata"/>
    <n v="3634.1700000000128"/>
    <n v="0"/>
  </r>
  <r>
    <s v="PRJ-0801"/>
    <s v="Automação de Operações 218"/>
    <x v="177"/>
    <x v="9"/>
    <x v="2"/>
    <x v="232"/>
    <d v="2026-11-19T00:00:00"/>
    <x v="78"/>
    <x v="0"/>
    <n v="115815.88"/>
    <n v="88055.039999999994"/>
    <n v="230217.04"/>
    <n v="215"/>
    <n v="120"/>
    <s v="Ágil"/>
    <n v="27760.840000000011"/>
    <s v=""/>
  </r>
  <r>
    <s v="PRJ-0802"/>
    <s v="Otimização de Atendimento 941"/>
    <x v="19"/>
    <x v="6"/>
    <x v="3"/>
    <x v="92"/>
    <d v="2026-12-31T00:00:00"/>
    <x v="79"/>
    <x v="0"/>
    <n v="420171.39"/>
    <n v="325729.7"/>
    <n v="313616.88"/>
    <n v="1613"/>
    <n v="1265"/>
    <s v="Híbrido"/>
    <n v="94441.69"/>
    <s v=""/>
  </r>
  <r>
    <s v="PRJ-0803"/>
    <s v="Integração de Plataforma 343"/>
    <x v="71"/>
    <x v="2"/>
    <x v="0"/>
    <x v="177"/>
    <d v="2026-06-16T00:00:00"/>
    <x v="6"/>
    <x v="0"/>
    <n v="83569.66"/>
    <n v="0"/>
    <n v="26357.18"/>
    <n v="3843"/>
    <n v="0"/>
    <s v="Cascata"/>
    <n v="83569.66"/>
    <s v=""/>
  </r>
  <r>
    <s v="PRJ-0804"/>
    <s v="Integração de RH 561"/>
    <x v="127"/>
    <x v="1"/>
    <x v="3"/>
    <x v="142"/>
    <d v="2026-06-03T00:00:00"/>
    <x v="237"/>
    <x v="0"/>
    <n v="50000"/>
    <n v="25535.24"/>
    <n v="103134.57"/>
    <n v="1430"/>
    <n v="546"/>
    <s v="Ágil"/>
    <n v="24464.76"/>
    <s v=""/>
  </r>
  <r>
    <s v="PRJ-0805"/>
    <s v="Expansão de Atendimento 664"/>
    <x v="122"/>
    <x v="3"/>
    <x v="3"/>
    <x v="181"/>
    <d v="2026-05-28T00:00:00"/>
    <x v="274"/>
    <x v="112"/>
    <n v="234243.24"/>
    <n v="254637.27"/>
    <n v="290557.44"/>
    <n v="504"/>
    <n v="429"/>
    <s v="Híbrido"/>
    <n v="-20394.03"/>
    <n v="72"/>
  </r>
  <r>
    <s v="PRJ-0806"/>
    <s v="Modernização de Financeiro 137"/>
    <x v="17"/>
    <x v="9"/>
    <x v="3"/>
    <x v="157"/>
    <d v="2026-06-25T00:00:00"/>
    <x v="317"/>
    <x v="0"/>
    <n v="116601.03"/>
    <n v="66236.61"/>
    <n v="53416.52"/>
    <n v="527"/>
    <n v="295"/>
    <s v="Cascata"/>
    <n v="50364.42"/>
    <s v=""/>
  </r>
  <r>
    <s v="PRJ-0807"/>
    <s v="Expansão de Financeiro 676"/>
    <x v="29"/>
    <x v="0"/>
    <x v="0"/>
    <x v="177"/>
    <d v="2026-05-27T00:00:00"/>
    <x v="226"/>
    <x v="113"/>
    <n v="50000"/>
    <n v="59976.4"/>
    <n v="20003.97"/>
    <n v="1806"/>
    <n v="1695"/>
    <s v="Ágil"/>
    <n v="-9976.4000000000015"/>
    <n v="92"/>
  </r>
  <r>
    <s v="PRJ-0808"/>
    <s v="Otimização de Processos 767"/>
    <x v="1"/>
    <x v="7"/>
    <x v="0"/>
    <x v="50"/>
    <d v="2026-12-31T00:00:00"/>
    <x v="318"/>
    <x v="0"/>
    <n v="61563.49"/>
    <n v="43519.16"/>
    <n v="107248.17"/>
    <n v="208"/>
    <n v="140"/>
    <s v="Híbrido"/>
    <n v="18044.329999999994"/>
    <s v=""/>
  </r>
  <r>
    <s v="PRJ-0809"/>
    <s v="Integração de Atendimento 860"/>
    <x v="172"/>
    <x v="8"/>
    <x v="3"/>
    <x v="200"/>
    <d v="2026-08-30T00:00:00"/>
    <x v="269"/>
    <x v="0"/>
    <n v="94147.6"/>
    <n v="78436.89"/>
    <n v="33571.480000000003"/>
    <n v="249"/>
    <n v="186"/>
    <s v="Cascata"/>
    <n v="15710.710000000006"/>
    <s v=""/>
  </r>
  <r>
    <s v="PRJ-0810"/>
    <s v="Implantação de Financeiro 021"/>
    <x v="33"/>
    <x v="8"/>
    <x v="3"/>
    <x v="263"/>
    <d v="2026-12-12T00:00:00"/>
    <x v="262"/>
    <x v="0"/>
    <n v="50000"/>
    <n v="26799.43"/>
    <n v="58404.98"/>
    <n v="1900"/>
    <n v="833"/>
    <s v="Ágil"/>
    <n v="23200.57"/>
    <s v=""/>
  </r>
  <r>
    <s v="PRJ-0811"/>
    <s v="Expansão de Operações 350"/>
    <x v="230"/>
    <x v="0"/>
    <x v="0"/>
    <x v="62"/>
    <d v="2026-12-31T00:00:00"/>
    <x v="102"/>
    <x v="0"/>
    <n v="50000"/>
    <n v="23604.639999999999"/>
    <n v="45976.7"/>
    <n v="910"/>
    <n v="398"/>
    <s v="Híbrido"/>
    <n v="26395.360000000001"/>
    <s v=""/>
  </r>
  <r>
    <s v="PRJ-0812"/>
    <s v="Expansão de RH 640"/>
    <x v="157"/>
    <x v="6"/>
    <x v="1"/>
    <x v="228"/>
    <d v="2026-08-31T00:00:00"/>
    <x v="21"/>
    <x v="0"/>
    <n v="587547.01"/>
    <n v="121320.58"/>
    <n v="1172924.43"/>
    <n v="5258"/>
    <n v="1335"/>
    <s v="Cascata"/>
    <n v="466226.43"/>
    <s v=""/>
  </r>
  <r>
    <s v="PRJ-0813"/>
    <s v="Expansão de Processos 210"/>
    <x v="50"/>
    <x v="2"/>
    <x v="0"/>
    <x v="305"/>
    <d v="2026-12-31T00:00:00"/>
    <x v="319"/>
    <x v="0"/>
    <n v="182746.77"/>
    <n v="128147.83"/>
    <n v="210892.65"/>
    <n v="4361"/>
    <n v="3470"/>
    <s v="Ágil"/>
    <n v="54598.939999999988"/>
    <s v=""/>
  </r>
  <r>
    <s v="PRJ-0814"/>
    <s v="Modernização de Atendimento 659"/>
    <x v="122"/>
    <x v="4"/>
    <x v="1"/>
    <x v="148"/>
    <d v="2026-08-14T00:00:00"/>
    <x v="320"/>
    <x v="0"/>
    <n v="68584.62"/>
    <n v="4972.68"/>
    <n v="41951.56"/>
    <n v="5998"/>
    <n v="314"/>
    <s v="Híbrido"/>
    <n v="63611.939999999995"/>
    <s v=""/>
  </r>
  <r>
    <s v="PRJ-0815"/>
    <s v="Integração de Financeiro 909"/>
    <x v="192"/>
    <x v="6"/>
    <x v="3"/>
    <x v="212"/>
    <d v="2026-12-26T00:00:00"/>
    <x v="79"/>
    <x v="0"/>
    <n v="58181.75"/>
    <n v="47478.01"/>
    <n v="101802.75"/>
    <n v="2162"/>
    <n v="1436"/>
    <s v="Cascata"/>
    <n v="10703.739999999998"/>
    <s v=""/>
  </r>
  <r>
    <s v="PRJ-0816"/>
    <s v="Automação de Relatórios 240"/>
    <x v="140"/>
    <x v="0"/>
    <x v="2"/>
    <x v="121"/>
    <d v="2026-11-06T00:00:00"/>
    <x v="64"/>
    <x v="0"/>
    <n v="386269.23"/>
    <n v="216906.09"/>
    <n v="526754.61"/>
    <n v="1914"/>
    <n v="914"/>
    <s v="Ágil"/>
    <n v="169363.13999999998"/>
    <s v=""/>
  </r>
  <r>
    <s v="PRJ-0817"/>
    <s v="Modernização de Relatórios 486"/>
    <x v="105"/>
    <x v="6"/>
    <x v="1"/>
    <x v="207"/>
    <d v="2026-12-31T00:00:00"/>
    <x v="6"/>
    <x v="0"/>
    <n v="123952.47"/>
    <n v="0"/>
    <n v="57126.3"/>
    <n v="1355"/>
    <n v="0"/>
    <s v="Híbrido"/>
    <n v="123952.47"/>
    <s v=""/>
  </r>
  <r>
    <s v="PRJ-0818"/>
    <s v="Revisão de RH 162"/>
    <x v="45"/>
    <x v="5"/>
    <x v="1"/>
    <x v="269"/>
    <d v="2026-03-15T00:00:00"/>
    <x v="68"/>
    <x v="114"/>
    <n v="158459.9"/>
    <n v="192340.25"/>
    <n v="296788.06"/>
    <n v="822"/>
    <n v="881"/>
    <s v="Cascata"/>
    <n v="-33880.350000000006"/>
    <n v="20"/>
  </r>
  <r>
    <s v="PRJ-0819"/>
    <s v="Modernização de Operações 119"/>
    <x v="162"/>
    <x v="1"/>
    <x v="2"/>
    <x v="171"/>
    <d v="2026-07-25T00:00:00"/>
    <x v="169"/>
    <x v="0"/>
    <n v="72461.02"/>
    <n v="37843.32"/>
    <n v="48275.94"/>
    <n v="704"/>
    <n v="461"/>
    <s v="Ágil"/>
    <n v="34617.700000000004"/>
    <s v=""/>
  </r>
  <r>
    <s v="PRJ-0820"/>
    <s v="Modernização de Segurança 552"/>
    <x v="240"/>
    <x v="6"/>
    <x v="3"/>
    <x v="181"/>
    <d v="2026-05-23T00:00:00"/>
    <x v="174"/>
    <x v="0"/>
    <n v="52274.95"/>
    <n v="37988.65"/>
    <n v="72118.3"/>
    <n v="960"/>
    <n v="538"/>
    <s v="Híbrido"/>
    <n v="14286.299999999996"/>
    <s v=""/>
  </r>
  <r>
    <s v="PRJ-0821"/>
    <s v="Automação de Operações 453"/>
    <x v="230"/>
    <x v="2"/>
    <x v="3"/>
    <x v="200"/>
    <d v="2026-10-04T00:00:00"/>
    <x v="182"/>
    <x v="0"/>
    <n v="234463.12"/>
    <n v="169339.69"/>
    <n v="350483.7"/>
    <n v="1170"/>
    <n v="852"/>
    <s v="Cascata"/>
    <n v="65123.429999999993"/>
    <s v=""/>
  </r>
  <r>
    <s v="PRJ-0822"/>
    <s v="Revisão de Relatórios 776"/>
    <x v="138"/>
    <x v="4"/>
    <x v="0"/>
    <x v="243"/>
    <d v="2026-02-27T00:00:00"/>
    <x v="70"/>
    <x v="0"/>
    <n v="79596.11"/>
    <n v="40770.57"/>
    <n v="50255.39"/>
    <n v="842"/>
    <n v="440"/>
    <s v="Ágil"/>
    <n v="38825.54"/>
    <s v=""/>
  </r>
  <r>
    <s v="PRJ-0823"/>
    <s v="Implantação de Atendimento 268"/>
    <x v="238"/>
    <x v="0"/>
    <x v="3"/>
    <x v="54"/>
    <d v="2026-11-16T00:00:00"/>
    <x v="72"/>
    <x v="0"/>
    <n v="50000"/>
    <n v="23310.66"/>
    <n v="59529.69"/>
    <n v="4510"/>
    <n v="2355"/>
    <s v="Híbrido"/>
    <n v="26689.34"/>
    <s v=""/>
  </r>
  <r>
    <s v="PRJ-0824"/>
    <s v="Otimização de Processos 614"/>
    <x v="241"/>
    <x v="4"/>
    <x v="3"/>
    <x v="270"/>
    <d v="2026-04-04T00:00:00"/>
    <x v="98"/>
    <x v="0"/>
    <n v="106833.15"/>
    <n v="8792.57"/>
    <n v="58643.67"/>
    <n v="1178"/>
    <n v="89"/>
    <s v="Cascata"/>
    <n v="98040.579999999987"/>
    <s v=""/>
  </r>
  <r>
    <s v="PRJ-0825"/>
    <s v="Integração de Supply 379"/>
    <x v="58"/>
    <x v="8"/>
    <x v="3"/>
    <x v="184"/>
    <d v="2026-08-28T00:00:00"/>
    <x v="6"/>
    <x v="0"/>
    <n v="71778.37"/>
    <n v="0"/>
    <n v="140985.84"/>
    <n v="2041"/>
    <n v="0"/>
    <s v="Ágil"/>
    <n v="71778.37"/>
    <s v=""/>
  </r>
  <r>
    <s v="PRJ-0826"/>
    <s v="Revisão de Processos 791"/>
    <x v="166"/>
    <x v="8"/>
    <x v="0"/>
    <x v="112"/>
    <d v="2026-12-31T00:00:00"/>
    <x v="6"/>
    <x v="0"/>
    <n v="259920.96"/>
    <n v="0"/>
    <n v="204952.32000000001"/>
    <n v="1305"/>
    <n v="0"/>
    <s v="Híbrido"/>
    <n v="259920.96"/>
    <s v=""/>
  </r>
  <r>
    <s v="PRJ-0827"/>
    <s v="Padronização de RH 902"/>
    <x v="198"/>
    <x v="5"/>
    <x v="1"/>
    <x v="307"/>
    <d v="2026-07-24T00:00:00"/>
    <x v="6"/>
    <x v="0"/>
    <n v="54004.58"/>
    <n v="0"/>
    <n v="85177.55"/>
    <n v="2366"/>
    <n v="0"/>
    <s v="Cascata"/>
    <n v="54004.58"/>
    <s v=""/>
  </r>
  <r>
    <s v="PRJ-0828"/>
    <s v="Implantação de Financeiro 305"/>
    <x v="96"/>
    <x v="6"/>
    <x v="0"/>
    <x v="204"/>
    <d v="2026-08-10T00:00:00"/>
    <x v="210"/>
    <x v="0"/>
    <n v="144320.76999999999"/>
    <n v="100468.46"/>
    <n v="194919.5"/>
    <n v="2113"/>
    <n v="1727"/>
    <s v="Ágil"/>
    <n v="43852.309999999983"/>
    <s v=""/>
  </r>
  <r>
    <s v="PRJ-0829"/>
    <s v="Expansão de Relatórios 364"/>
    <x v="85"/>
    <x v="6"/>
    <x v="0"/>
    <x v="285"/>
    <d v="2026-05-04T00:00:00"/>
    <x v="87"/>
    <x v="0"/>
    <n v="151712.70000000001"/>
    <n v="48189.2"/>
    <n v="301514.59000000003"/>
    <n v="171"/>
    <n v="50"/>
    <s v="Híbrido"/>
    <n v="103523.50000000001"/>
    <s v=""/>
  </r>
  <r>
    <s v="PRJ-0830"/>
    <s v="Implantação de Dados 590"/>
    <x v="93"/>
    <x v="9"/>
    <x v="3"/>
    <x v="309"/>
    <d v="2026-12-30T00:00:00"/>
    <x v="181"/>
    <x v="0"/>
    <n v="116772.56"/>
    <n v="65773.929999999993"/>
    <n v="204401.54"/>
    <n v="315"/>
    <n v="224"/>
    <s v="Cascata"/>
    <n v="50998.630000000005"/>
    <s v=""/>
  </r>
  <r>
    <s v="PRJ-0831"/>
    <s v="Revisão de Processos 297"/>
    <x v="3"/>
    <x v="9"/>
    <x v="0"/>
    <x v="312"/>
    <d v="2026-06-11T00:00:00"/>
    <x v="238"/>
    <x v="0"/>
    <n v="104947.39"/>
    <n v="95693.89"/>
    <n v="225059.98"/>
    <n v="742"/>
    <n v="441"/>
    <s v="Ágil"/>
    <n v="9253.5"/>
    <s v=""/>
  </r>
  <r>
    <s v="PRJ-0832"/>
    <s v="Modernização de Operações 466"/>
    <x v="4"/>
    <x v="6"/>
    <x v="2"/>
    <x v="70"/>
    <d v="2026-12-31T00:00:00"/>
    <x v="88"/>
    <x v="0"/>
    <n v="354508.9"/>
    <n v="134060.94"/>
    <n v="709645.81"/>
    <n v="2044"/>
    <n v="914"/>
    <s v="Híbrido"/>
    <n v="220447.96000000002"/>
    <s v=""/>
  </r>
  <r>
    <s v="PRJ-0833"/>
    <s v="Modernização de Plataforma 941"/>
    <x v="37"/>
    <x v="0"/>
    <x v="3"/>
    <x v="288"/>
    <d v="2026-07-01T00:00:00"/>
    <x v="171"/>
    <x v="0"/>
    <n v="50000"/>
    <n v="22103.93"/>
    <n v="101990.68"/>
    <n v="1584"/>
    <n v="654"/>
    <s v="Cascata"/>
    <n v="27896.07"/>
    <s v=""/>
  </r>
  <r>
    <s v="PRJ-0834"/>
    <s v="Expansão de Plataforma 563"/>
    <x v="14"/>
    <x v="7"/>
    <x v="2"/>
    <x v="172"/>
    <d v="2026-12-03T00:00:00"/>
    <x v="290"/>
    <x v="115"/>
    <n v="83455.91"/>
    <n v="29017.88"/>
    <n v="67131.86"/>
    <n v="868"/>
    <n v="245"/>
    <s v="Ágil"/>
    <n v="54438.03"/>
    <n v="68"/>
  </r>
  <r>
    <s v="PRJ-0835"/>
    <s v="Integração de Financeiro 377"/>
    <x v="29"/>
    <x v="4"/>
    <x v="1"/>
    <x v="20"/>
    <d v="2026-07-08T00:00:00"/>
    <x v="321"/>
    <x v="0"/>
    <n v="77780.070000000007"/>
    <n v="38632.120000000003"/>
    <n v="66017.850000000006"/>
    <n v="813"/>
    <n v="350"/>
    <s v="Híbrido"/>
    <n v="39147.950000000004"/>
    <s v=""/>
  </r>
  <r>
    <s v="PRJ-0836"/>
    <s v="Automação de Financeiro 200"/>
    <x v="109"/>
    <x v="5"/>
    <x v="1"/>
    <x v="164"/>
    <d v="2026-12-31T00:00:00"/>
    <x v="259"/>
    <x v="3"/>
    <n v="201026.13"/>
    <n v="188843.85"/>
    <n v="383899.2"/>
    <n v="667"/>
    <n v="768"/>
    <s v="Cascata"/>
    <n v="12182.279999999999"/>
    <n v="78"/>
  </r>
  <r>
    <s v="PRJ-0837"/>
    <s v="Otimização de Supply 244"/>
    <x v="67"/>
    <x v="6"/>
    <x v="1"/>
    <x v="179"/>
    <d v="2026-06-28T00:00:00"/>
    <x v="316"/>
    <x v="0"/>
    <n v="61216.79"/>
    <n v="38582.22"/>
    <n v="58771.48"/>
    <n v="3293"/>
    <n v="1700"/>
    <s v="Ágil"/>
    <n v="22634.57"/>
    <s v=""/>
  </r>
  <r>
    <s v="PRJ-0838"/>
    <s v="Expansão de Financeiro 906"/>
    <x v="163"/>
    <x v="3"/>
    <x v="2"/>
    <x v="169"/>
    <d v="2026-04-23T00:00:00"/>
    <x v="17"/>
    <x v="0"/>
    <n v="363549.55"/>
    <n v="125988.27"/>
    <n v="482909.84"/>
    <n v="1769"/>
    <n v="583"/>
    <s v="Híbrido"/>
    <n v="237561.27999999997"/>
    <s v=""/>
  </r>
  <r>
    <s v="PRJ-0839"/>
    <s v="Automação de Financeiro 586"/>
    <x v="225"/>
    <x v="9"/>
    <x v="1"/>
    <x v="44"/>
    <d v="2026-05-28T00:00:00"/>
    <x v="34"/>
    <x v="0"/>
    <n v="152714.74"/>
    <n v="53664.59"/>
    <n v="77877.27"/>
    <n v="1033"/>
    <n v="457"/>
    <s v="Cascata"/>
    <n v="99050.15"/>
    <s v=""/>
  </r>
  <r>
    <s v="PRJ-0840"/>
    <s v="Integração de Supply 306"/>
    <x v="232"/>
    <x v="7"/>
    <x v="0"/>
    <x v="20"/>
    <d v="2026-06-12T00:00:00"/>
    <x v="21"/>
    <x v="0"/>
    <n v="316611.76"/>
    <n v="157118.48000000001"/>
    <n v="533664.15"/>
    <n v="718"/>
    <n v="354"/>
    <s v="Ágil"/>
    <n v="159493.28"/>
    <s v=""/>
  </r>
  <r>
    <s v="PRJ-0841"/>
    <s v="Revisão de Operações 595"/>
    <x v="195"/>
    <x v="4"/>
    <x v="3"/>
    <x v="276"/>
    <d v="2026-05-04T00:00:00"/>
    <x v="16"/>
    <x v="0"/>
    <n v="71520.06"/>
    <n v="65961.33"/>
    <n v="68938.740000000005"/>
    <n v="891"/>
    <n v="771"/>
    <s v="Híbrido"/>
    <n v="5558.7299999999959"/>
    <s v=""/>
  </r>
  <r>
    <s v="PRJ-0842"/>
    <s v="Padronização de Plataforma 911"/>
    <x v="5"/>
    <x v="8"/>
    <x v="2"/>
    <x v="306"/>
    <d v="2026-05-24T00:00:00"/>
    <x v="155"/>
    <x v="0"/>
    <n v="149370.09"/>
    <n v="141363.35"/>
    <n v="217031.71"/>
    <n v="405"/>
    <n v="372"/>
    <s v="Cascata"/>
    <n v="8006.7399999999907"/>
    <s v=""/>
  </r>
  <r>
    <s v="PRJ-0843"/>
    <s v="Modernização de Relatórios 860"/>
    <x v="60"/>
    <x v="5"/>
    <x v="3"/>
    <x v="313"/>
    <d v="2026-12-15T00:00:00"/>
    <x v="322"/>
    <x v="0"/>
    <n v="220288.36"/>
    <n v="61960.21"/>
    <n v="199764.05"/>
    <n v="1881"/>
    <n v="443"/>
    <s v="Ágil"/>
    <n v="158328.15"/>
    <s v=""/>
  </r>
  <r>
    <s v="PRJ-0844"/>
    <s v="Padronização de Relatórios 768"/>
    <x v="60"/>
    <x v="5"/>
    <x v="3"/>
    <x v="314"/>
    <d v="2026-03-14T00:00:00"/>
    <x v="153"/>
    <x v="116"/>
    <n v="50000"/>
    <n v="43722.92"/>
    <n v="61486.43"/>
    <n v="945"/>
    <n v="1046"/>
    <s v="Híbrido"/>
    <n v="6277.0800000000017"/>
    <n v="36"/>
  </r>
  <r>
    <s v="PRJ-0845"/>
    <s v="Modernização de Relatórios 924"/>
    <x v="235"/>
    <x v="4"/>
    <x v="3"/>
    <x v="28"/>
    <d v="2026-12-31T00:00:00"/>
    <x v="283"/>
    <x v="0"/>
    <n v="60043.3"/>
    <n v="49544.79"/>
    <n v="20728.84"/>
    <n v="761"/>
    <n v="567"/>
    <s v="Cascata"/>
    <n v="10498.510000000002"/>
    <s v=""/>
  </r>
  <r>
    <s v="PRJ-0846"/>
    <s v="Expansão de Supply 417"/>
    <x v="38"/>
    <x v="3"/>
    <x v="1"/>
    <x v="107"/>
    <d v="2026-08-24T00:00:00"/>
    <x v="170"/>
    <x v="0"/>
    <n v="791287.29"/>
    <n v="360660.81"/>
    <n v="239979.36"/>
    <n v="2199"/>
    <n v="1309"/>
    <s v="Ágil"/>
    <n v="430626.48000000004"/>
    <s v=""/>
  </r>
  <r>
    <s v="PRJ-0847"/>
    <s v="Automação de Segurança 602"/>
    <x v="180"/>
    <x v="9"/>
    <x v="0"/>
    <x v="281"/>
    <d v="2026-12-06T00:00:00"/>
    <x v="172"/>
    <x v="117"/>
    <n v="50000"/>
    <n v="58624.19"/>
    <n v="99401.01"/>
    <n v="3758"/>
    <n v="4383"/>
    <s v="Híbrido"/>
    <n v="-8624.1900000000023"/>
    <n v="79"/>
  </r>
  <r>
    <s v="PRJ-0848"/>
    <s v="Expansão de Dados 207"/>
    <x v="242"/>
    <x v="8"/>
    <x v="0"/>
    <x v="154"/>
    <d v="2026-03-17T00:00:00"/>
    <x v="70"/>
    <x v="0"/>
    <n v="265639.61"/>
    <n v="143570.66"/>
    <n v="447975.95"/>
    <n v="434"/>
    <n v="213"/>
    <s v="Cascata"/>
    <n v="122068.94999999998"/>
    <s v=""/>
  </r>
  <r>
    <s v="PRJ-0849"/>
    <s v="Padronização de Financeiro 793"/>
    <x v="39"/>
    <x v="6"/>
    <x v="0"/>
    <x v="281"/>
    <d v="2026-12-12T00:00:00"/>
    <x v="6"/>
    <x v="0"/>
    <n v="63411.92"/>
    <n v="0"/>
    <n v="77941.679999999993"/>
    <n v="1713"/>
    <n v="0"/>
    <s v="Ágil"/>
    <n v="63411.92"/>
    <s v=""/>
  </r>
  <r>
    <s v="PRJ-0850"/>
    <s v="Padronização de Relatórios 744"/>
    <x v="57"/>
    <x v="6"/>
    <x v="3"/>
    <x v="25"/>
    <d v="2026-12-31T00:00:00"/>
    <x v="6"/>
    <x v="0"/>
    <n v="55559.67"/>
    <n v="0"/>
    <n v="18002.5"/>
    <n v="1227"/>
    <n v="0"/>
    <s v="Híbrido"/>
    <n v="55559.67"/>
    <s v=""/>
  </r>
  <r>
    <s v="PRJ-0851"/>
    <s v="Implantação de Processos 407"/>
    <x v="166"/>
    <x v="5"/>
    <x v="3"/>
    <x v="112"/>
    <d v="2026-12-31T00:00:00"/>
    <x v="6"/>
    <x v="0"/>
    <n v="138818.87"/>
    <n v="0"/>
    <n v="89471.42"/>
    <n v="700"/>
    <n v="0"/>
    <s v="Cascata"/>
    <n v="138818.87"/>
    <s v=""/>
  </r>
  <r>
    <s v="PRJ-0852"/>
    <s v="Padronização de Processos 210"/>
    <x v="128"/>
    <x v="8"/>
    <x v="2"/>
    <x v="21"/>
    <d v="2026-07-29T00:00:00"/>
    <x v="300"/>
    <x v="0"/>
    <n v="320719.63"/>
    <n v="98518.98"/>
    <n v="125978.38"/>
    <n v="332"/>
    <n v="77"/>
    <s v="Ágil"/>
    <n v="222200.65000000002"/>
    <s v=""/>
  </r>
  <r>
    <s v="PRJ-0853"/>
    <s v="Padronização de Plataforma 913"/>
    <x v="5"/>
    <x v="0"/>
    <x v="1"/>
    <x v="182"/>
    <d v="2026-12-31T00:00:00"/>
    <x v="323"/>
    <x v="0"/>
    <n v="117647.38"/>
    <n v="35425.78"/>
    <n v="76175.09"/>
    <n v="341"/>
    <n v="112"/>
    <s v="Híbrido"/>
    <n v="82221.600000000006"/>
    <s v=""/>
  </r>
  <r>
    <s v="PRJ-0854"/>
    <s v="Otimização de Segurança 463"/>
    <x v="145"/>
    <x v="8"/>
    <x v="3"/>
    <x v="249"/>
    <d v="2026-03-29T00:00:00"/>
    <x v="9"/>
    <x v="0"/>
    <n v="125571.95"/>
    <n v="59161.46"/>
    <n v="238847.69"/>
    <n v="2410"/>
    <n v="1168"/>
    <s v="Cascata"/>
    <n v="66410.489999999991"/>
    <s v=""/>
  </r>
  <r>
    <s v="PRJ-0855"/>
    <s v="Automação de Plataforma 644"/>
    <x v="15"/>
    <x v="0"/>
    <x v="3"/>
    <x v="315"/>
    <d v="2026-12-21T00:00:00"/>
    <x v="126"/>
    <x v="0"/>
    <n v="109847.94"/>
    <n v="81982.600000000006"/>
    <n v="206085.06"/>
    <n v="3178"/>
    <n v="2473"/>
    <s v="Ágil"/>
    <n v="27865.339999999997"/>
    <s v=""/>
  </r>
  <r>
    <s v="PRJ-0856"/>
    <s v="Modernização de Dados 182"/>
    <x v="82"/>
    <x v="4"/>
    <x v="1"/>
    <x v="170"/>
    <d v="2026-12-31T00:00:00"/>
    <x v="27"/>
    <x v="0"/>
    <n v="67229.69"/>
    <n v="17498.98"/>
    <n v="76091.850000000006"/>
    <n v="681"/>
    <n v="204"/>
    <s v="Híbrido"/>
    <n v="49730.710000000006"/>
    <s v=""/>
  </r>
  <r>
    <s v="PRJ-0857"/>
    <s v="Otimização de Financeiro 882"/>
    <x v="194"/>
    <x v="3"/>
    <x v="3"/>
    <x v="305"/>
    <d v="2026-12-31T00:00:00"/>
    <x v="36"/>
    <x v="0"/>
    <n v="57261.26"/>
    <n v="40172.28"/>
    <n v="94087.75"/>
    <n v="3131"/>
    <n v="2141"/>
    <s v="Cascata"/>
    <n v="17088.980000000003"/>
    <s v=""/>
  </r>
  <r>
    <s v="PRJ-0858"/>
    <s v="Expansão de Supply 016"/>
    <x v="200"/>
    <x v="3"/>
    <x v="0"/>
    <x v="56"/>
    <d v="2026-06-20T00:00:00"/>
    <x v="34"/>
    <x v="0"/>
    <n v="53536.59"/>
    <n v="32312.14"/>
    <n v="56764"/>
    <n v="2454"/>
    <n v="1508"/>
    <s v="Ágil"/>
    <n v="21224.449999999997"/>
    <s v=""/>
  </r>
  <r>
    <s v="PRJ-0859"/>
    <s v="Otimização de Dados 605"/>
    <x v="82"/>
    <x v="7"/>
    <x v="0"/>
    <x v="137"/>
    <d v="2026-12-31T00:00:00"/>
    <x v="283"/>
    <x v="0"/>
    <n v="54867.29"/>
    <n v="19482.23"/>
    <n v="51951.44"/>
    <n v="1359"/>
    <n v="465"/>
    <s v="Híbrido"/>
    <n v="35385.06"/>
    <s v=""/>
  </r>
  <r>
    <s v="PRJ-0860"/>
    <s v="Expansão de Operações 734"/>
    <x v="78"/>
    <x v="6"/>
    <x v="3"/>
    <x v="78"/>
    <d v="2026-05-12T00:00:00"/>
    <x v="34"/>
    <x v="0"/>
    <n v="196261.09"/>
    <n v="123107.34"/>
    <n v="88902.64"/>
    <n v="2012"/>
    <n v="1156"/>
    <s v="Cascata"/>
    <n v="73153.75"/>
    <s v=""/>
  </r>
  <r>
    <s v="PRJ-0861"/>
    <s v="Otimização de RH 094"/>
    <x v="2"/>
    <x v="8"/>
    <x v="3"/>
    <x v="32"/>
    <d v="2026-12-21T00:00:00"/>
    <x v="146"/>
    <x v="3"/>
    <n v="51559.73"/>
    <n v="45308.62"/>
    <n v="85577.82"/>
    <n v="1685"/>
    <n v="1956"/>
    <s v="Ágil"/>
    <n v="6251.1100000000006"/>
    <n v="70"/>
  </r>
  <r>
    <s v="PRJ-0862"/>
    <s v="Padronização de RH 626"/>
    <x v="22"/>
    <x v="6"/>
    <x v="3"/>
    <x v="102"/>
    <d v="2026-01-28T00:00:00"/>
    <x v="40"/>
    <x v="0"/>
    <n v="96022.92"/>
    <n v="38155.410000000003"/>
    <n v="198926.44"/>
    <n v="384"/>
    <n v="150"/>
    <s v="Híbrido"/>
    <n v="57867.509999999995"/>
    <s v=""/>
  </r>
  <r>
    <s v="PRJ-0863"/>
    <s v="Revisão de Dados 001"/>
    <x v="95"/>
    <x v="3"/>
    <x v="0"/>
    <x v="5"/>
    <d v="2026-04-18T00:00:00"/>
    <x v="135"/>
    <x v="0"/>
    <n v="97146.77"/>
    <n v="44200.24"/>
    <n v="95741.34"/>
    <n v="979"/>
    <n v="388"/>
    <s v="Cascata"/>
    <n v="52946.530000000006"/>
    <s v=""/>
  </r>
  <r>
    <s v="PRJ-0864"/>
    <s v="Automação de Supply 873"/>
    <x v="51"/>
    <x v="6"/>
    <x v="1"/>
    <x v="42"/>
    <d v="2026-09-03T00:00:00"/>
    <x v="6"/>
    <x v="0"/>
    <n v="50000"/>
    <n v="0"/>
    <n v="46074.47"/>
    <n v="890"/>
    <n v="0"/>
    <s v="Ágil"/>
    <n v="50000"/>
    <s v=""/>
  </r>
  <r>
    <s v="PRJ-0865"/>
    <s v="Implantação de Financeiro 851"/>
    <x v="109"/>
    <x v="8"/>
    <x v="2"/>
    <x v="47"/>
    <d v="2026-07-17T00:00:00"/>
    <x v="197"/>
    <x v="0"/>
    <n v="457636.45"/>
    <n v="289461.86"/>
    <n v="798820.13"/>
    <n v="476"/>
    <n v="255"/>
    <s v="Híbrido"/>
    <n v="168174.59000000003"/>
    <s v=""/>
  </r>
  <r>
    <s v="PRJ-0866"/>
    <s v="Expansão de Operações 227"/>
    <x v="72"/>
    <x v="4"/>
    <x v="3"/>
    <x v="316"/>
    <d v="2026-06-23T00:00:00"/>
    <x v="6"/>
    <x v="0"/>
    <n v="276387.14"/>
    <n v="0"/>
    <n v="161208.47"/>
    <n v="1277"/>
    <n v="0"/>
    <s v="Cascata"/>
    <n v="276387.14"/>
    <s v=""/>
  </r>
  <r>
    <s v="PRJ-0867"/>
    <s v="Revisão de RH 792"/>
    <x v="164"/>
    <x v="4"/>
    <x v="1"/>
    <x v="247"/>
    <d v="2026-08-21T00:00:00"/>
    <x v="15"/>
    <x v="118"/>
    <n v="91300.19"/>
    <n v="79156.2"/>
    <n v="107625.99"/>
    <n v="752"/>
    <n v="901"/>
    <s v="Ágil"/>
    <n v="12143.990000000005"/>
    <n v="40"/>
  </r>
  <r>
    <s v="PRJ-0868"/>
    <s v="Revisão de Operações 242"/>
    <x v="53"/>
    <x v="6"/>
    <x v="1"/>
    <x v="317"/>
    <d v="2026-12-31T00:00:00"/>
    <x v="112"/>
    <x v="0"/>
    <n v="271050.90999999997"/>
    <n v="288728.57"/>
    <n v="285531.68"/>
    <n v="3491"/>
    <n v="3376"/>
    <s v="Híbrido"/>
    <n v="-17677.660000000033"/>
    <s v=""/>
  </r>
  <r>
    <s v="PRJ-0869"/>
    <s v="Padronização de Dados 100"/>
    <x v="0"/>
    <x v="0"/>
    <x v="1"/>
    <x v="90"/>
    <d v="2026-08-04T00:00:00"/>
    <x v="292"/>
    <x v="0"/>
    <n v="51874.61"/>
    <n v="58472.91"/>
    <n v="84339.24"/>
    <n v="1699"/>
    <n v="1530"/>
    <s v="Cascata"/>
    <n v="-6598.3000000000029"/>
    <s v=""/>
  </r>
  <r>
    <s v="PRJ-0870"/>
    <s v="Modernização de Operações 537"/>
    <x v="188"/>
    <x v="7"/>
    <x v="1"/>
    <x v="65"/>
    <d v="2026-12-31T00:00:00"/>
    <x v="285"/>
    <x v="0"/>
    <n v="50000"/>
    <n v="37946.39"/>
    <n v="26384.86"/>
    <n v="652"/>
    <n v="556"/>
    <s v="Ágil"/>
    <n v="12053.61"/>
    <s v=""/>
  </r>
  <r>
    <s v="PRJ-0871"/>
    <s v="Expansão de Financeiro 060"/>
    <x v="217"/>
    <x v="9"/>
    <x v="0"/>
    <x v="70"/>
    <d v="2026-11-12T00:00:00"/>
    <x v="79"/>
    <x v="0"/>
    <n v="180262.06"/>
    <n v="187884.71"/>
    <n v="168563.13"/>
    <n v="423"/>
    <n v="398"/>
    <s v="Híbrido"/>
    <n v="-7622.6499999999942"/>
    <s v=""/>
  </r>
  <r>
    <s v="PRJ-0872"/>
    <s v="Expansão de Supply 816"/>
    <x v="200"/>
    <x v="4"/>
    <x v="0"/>
    <x v="117"/>
    <d v="2026-06-19T00:00:00"/>
    <x v="228"/>
    <x v="0"/>
    <n v="50000"/>
    <n v="48504.3"/>
    <n v="89955.46"/>
    <n v="1647"/>
    <n v="1361"/>
    <s v="Cascata"/>
    <n v="1495.6999999999971"/>
    <s v=""/>
  </r>
  <r>
    <s v="PRJ-0873"/>
    <s v="Implantação de Supply 655"/>
    <x v="94"/>
    <x v="8"/>
    <x v="3"/>
    <x v="318"/>
    <d v="2026-12-31T00:00:00"/>
    <x v="273"/>
    <x v="0"/>
    <n v="64308.71"/>
    <n v="5560.67"/>
    <n v="112770.6"/>
    <n v="248"/>
    <n v="27"/>
    <s v="Ágil"/>
    <n v="58748.04"/>
    <s v=""/>
  </r>
  <r>
    <s v="PRJ-0874"/>
    <s v="Automação de Plataforma 291"/>
    <x v="77"/>
    <x v="6"/>
    <x v="2"/>
    <x v="274"/>
    <d v="2026-09-11T00:00:00"/>
    <x v="265"/>
    <x v="119"/>
    <n v="69655.3"/>
    <n v="81696.740000000005"/>
    <n v="107912.69"/>
    <n v="1210"/>
    <n v="1449"/>
    <s v="Híbrido"/>
    <n v="-12041.440000000002"/>
    <n v="107"/>
  </r>
  <r>
    <s v="PRJ-0875"/>
    <s v="Expansão de Relatórios 765"/>
    <x v="140"/>
    <x v="4"/>
    <x v="3"/>
    <x v="8"/>
    <d v="2026-12-31T00:00:00"/>
    <x v="273"/>
    <x v="0"/>
    <n v="189962.37"/>
    <n v="107955.07"/>
    <n v="227221.65"/>
    <n v="115"/>
    <n v="53"/>
    <s v="Cascata"/>
    <n v="82007.299999999988"/>
    <s v=""/>
  </r>
  <r>
    <s v="PRJ-0876"/>
    <s v="Automação de Processos 642"/>
    <x v="36"/>
    <x v="2"/>
    <x v="2"/>
    <x v="94"/>
    <d v="2026-07-23T00:00:00"/>
    <x v="84"/>
    <x v="120"/>
    <n v="51870.77"/>
    <n v="51446.84"/>
    <n v="40309.47"/>
    <n v="1483"/>
    <n v="1713"/>
    <s v="Ágil"/>
    <n v="423.93000000000029"/>
    <n v="77"/>
  </r>
  <r>
    <s v="PRJ-0877"/>
    <s v="Modernização de RH 182"/>
    <x v="102"/>
    <x v="0"/>
    <x v="3"/>
    <x v="6"/>
    <d v="2026-07-30T00:00:00"/>
    <x v="6"/>
    <x v="0"/>
    <n v="74642.11"/>
    <n v="0"/>
    <n v="106587.64"/>
    <n v="2997"/>
    <n v="0"/>
    <s v="Híbrido"/>
    <n v="74642.11"/>
    <s v=""/>
  </r>
  <r>
    <s v="PRJ-0878"/>
    <s v="Integração de Plataforma 402"/>
    <x v="173"/>
    <x v="7"/>
    <x v="3"/>
    <x v="311"/>
    <d v="2026-09-19T00:00:00"/>
    <x v="314"/>
    <x v="0"/>
    <n v="50000"/>
    <n v="11008.19"/>
    <n v="72921.070000000007"/>
    <n v="517"/>
    <n v="92"/>
    <s v="Cascata"/>
    <n v="38991.81"/>
    <s v=""/>
  </r>
  <r>
    <s v="PRJ-0879"/>
    <s v="Automação de Relatórios 159"/>
    <x v="235"/>
    <x v="5"/>
    <x v="2"/>
    <x v="319"/>
    <d v="2026-06-26T00:00:00"/>
    <x v="77"/>
    <x v="0"/>
    <n v="330254.61"/>
    <n v="211209.11"/>
    <n v="265453.08"/>
    <n v="2024"/>
    <n v="1213"/>
    <s v="Ágil"/>
    <n v="119045.5"/>
    <s v=""/>
  </r>
  <r>
    <s v="PRJ-0880"/>
    <s v="Automação de Supply 669"/>
    <x v="56"/>
    <x v="1"/>
    <x v="0"/>
    <x v="90"/>
    <d v="2026-10-04T00:00:00"/>
    <x v="292"/>
    <x v="29"/>
    <n v="50000"/>
    <n v="55091.35"/>
    <n v="79014.61"/>
    <n v="3068"/>
    <n v="3639"/>
    <s v="Híbrido"/>
    <n v="-5091.3499999999985"/>
    <n v="149"/>
  </r>
  <r>
    <s v="PRJ-0881"/>
    <s v="Revisão de Atendimento 887"/>
    <x v="148"/>
    <x v="1"/>
    <x v="3"/>
    <x v="60"/>
    <d v="2026-12-28T00:00:00"/>
    <x v="120"/>
    <x v="0"/>
    <n v="148289.31"/>
    <n v="123028.99"/>
    <n v="181356.32"/>
    <n v="158"/>
    <n v="107"/>
    <s v="Cascata"/>
    <n v="25260.319999999992"/>
    <s v=""/>
  </r>
  <r>
    <s v="PRJ-0882"/>
    <s v="Padronização de Plataforma 220"/>
    <x v="129"/>
    <x v="7"/>
    <x v="1"/>
    <x v="41"/>
    <d v="2026-02-17T00:00:00"/>
    <x v="153"/>
    <x v="121"/>
    <n v="50000"/>
    <n v="52653.68"/>
    <n v="80781.83"/>
    <n v="2100"/>
    <n v="2031"/>
    <s v="Ágil"/>
    <n v="-2653.6800000000003"/>
    <n v="33"/>
  </r>
  <r>
    <s v="PRJ-0883"/>
    <s v="Padronização de Dados 516"/>
    <x v="93"/>
    <x v="5"/>
    <x v="1"/>
    <x v="103"/>
    <d v="2026-08-28T00:00:00"/>
    <x v="324"/>
    <x v="0"/>
    <n v="50000"/>
    <n v="34777.54"/>
    <n v="70043.53"/>
    <n v="1035"/>
    <n v="829"/>
    <s v="Híbrido"/>
    <n v="15222.46"/>
    <s v=""/>
  </r>
  <r>
    <s v="PRJ-0884"/>
    <s v="Otimização de Atendimento 310"/>
    <x v="196"/>
    <x v="7"/>
    <x v="0"/>
    <x v="151"/>
    <d v="2026-12-26T00:00:00"/>
    <x v="259"/>
    <x v="0"/>
    <n v="245887.31"/>
    <n v="93064.26"/>
    <n v="396222.93"/>
    <n v="1776"/>
    <n v="772"/>
    <s v="Cascata"/>
    <n v="152823.04999999999"/>
    <s v=""/>
  </r>
  <r>
    <s v="PRJ-0885"/>
    <s v="Revisão de Processos 095"/>
    <x v="66"/>
    <x v="0"/>
    <x v="1"/>
    <x v="138"/>
    <d v="2026-11-28T00:00:00"/>
    <x v="162"/>
    <x v="69"/>
    <n v="150759.32"/>
    <n v="129513.52"/>
    <n v="311912.34000000003"/>
    <n v="586"/>
    <n v="677"/>
    <s v="Ágil"/>
    <n v="21245.800000000003"/>
    <n v="32"/>
  </r>
  <r>
    <s v="PRJ-0886"/>
    <s v="Automação de Financeiro 050"/>
    <x v="109"/>
    <x v="7"/>
    <x v="0"/>
    <x v="235"/>
    <d v="2026-06-12T00:00:00"/>
    <x v="153"/>
    <x v="0"/>
    <n v="75208.009999999995"/>
    <n v="34694.57"/>
    <n v="33347.839999999997"/>
    <n v="3261"/>
    <n v="1465"/>
    <s v="Híbrido"/>
    <n v="40513.439999999995"/>
    <s v=""/>
  </r>
  <r>
    <s v="PRJ-0887"/>
    <s v="Expansão de Financeiro 108"/>
    <x v="109"/>
    <x v="0"/>
    <x v="1"/>
    <x v="129"/>
    <d v="2026-11-05T00:00:00"/>
    <x v="242"/>
    <x v="56"/>
    <n v="138016.60999999999"/>
    <n v="119116.89"/>
    <n v="59581.89"/>
    <n v="400"/>
    <n v="445"/>
    <s v="Cascata"/>
    <n v="18899.719999999987"/>
    <n v="89"/>
  </r>
  <r>
    <s v="PRJ-0888"/>
    <s v="Integração de Financeiro 390"/>
    <x v="224"/>
    <x v="9"/>
    <x v="3"/>
    <x v="281"/>
    <d v="2026-12-31T00:00:00"/>
    <x v="259"/>
    <x v="0"/>
    <n v="389476.99"/>
    <n v="165340.98000000001"/>
    <n v="512825.48"/>
    <n v="1625"/>
    <n v="569"/>
    <s v="Ágil"/>
    <n v="224136.00999999998"/>
    <s v=""/>
  </r>
  <r>
    <s v="PRJ-0889"/>
    <s v="Expansão de Dados 144"/>
    <x v="124"/>
    <x v="4"/>
    <x v="0"/>
    <x v="275"/>
    <d v="2026-04-02T00:00:00"/>
    <x v="279"/>
    <x v="122"/>
    <n v="156882.01"/>
    <n v="156371.73000000001"/>
    <n v="273849.94"/>
    <n v="1026"/>
    <n v="944"/>
    <s v="Híbrido"/>
    <n v="510.27999999999884"/>
    <n v="59"/>
  </r>
  <r>
    <s v="PRJ-0890"/>
    <s v="Otimização de Segurança 733"/>
    <x v="231"/>
    <x v="1"/>
    <x v="2"/>
    <x v="301"/>
    <d v="2026-12-22T00:00:00"/>
    <x v="146"/>
    <x v="0"/>
    <n v="58405.9"/>
    <n v="38076.1"/>
    <n v="116179.85"/>
    <n v="2212"/>
    <n v="1238"/>
    <s v="Cascata"/>
    <n v="20329.800000000003"/>
    <s v=""/>
  </r>
  <r>
    <s v="PRJ-0891"/>
    <s v="Expansão de Atendimento 781"/>
    <x v="88"/>
    <x v="2"/>
    <x v="0"/>
    <x v="39"/>
    <d v="2026-10-15T00:00:00"/>
    <x v="150"/>
    <x v="27"/>
    <n v="98677.97"/>
    <n v="92105.8"/>
    <n v="60135.19"/>
    <n v="2338"/>
    <n v="2113"/>
    <s v="Ágil"/>
    <n v="6572.1699999999983"/>
    <n v="33"/>
  </r>
  <r>
    <s v="PRJ-0892"/>
    <s v="Implantação de Processos 171"/>
    <x v="166"/>
    <x v="9"/>
    <x v="2"/>
    <x v="320"/>
    <d v="2026-10-14T00:00:00"/>
    <x v="126"/>
    <x v="0"/>
    <n v="308525.69"/>
    <n v="102897.19"/>
    <n v="643126.47"/>
    <n v="425"/>
    <n v="146"/>
    <s v="Híbrido"/>
    <n v="205628.5"/>
    <s v=""/>
  </r>
  <r>
    <s v="PRJ-0893"/>
    <s v="Automação de Processos 228"/>
    <x v="49"/>
    <x v="9"/>
    <x v="0"/>
    <x v="173"/>
    <d v="2026-10-31T00:00:00"/>
    <x v="105"/>
    <x v="0"/>
    <n v="136431.82"/>
    <n v="15666.7"/>
    <n v="97783.9"/>
    <n v="4643"/>
    <n v="606"/>
    <s v="Cascata"/>
    <n v="120765.12000000001"/>
    <s v=""/>
  </r>
  <r>
    <s v="PRJ-0894"/>
    <s v="Revisão de Supply 292"/>
    <x v="233"/>
    <x v="6"/>
    <x v="1"/>
    <x v="82"/>
    <d v="2026-12-26T00:00:00"/>
    <x v="33"/>
    <x v="3"/>
    <n v="50000"/>
    <n v="59141.24"/>
    <n v="22953.79"/>
    <n v="1533"/>
    <n v="1622"/>
    <s v="Ágil"/>
    <n v="-9141.239999999998"/>
    <n v="82"/>
  </r>
  <r>
    <s v="PRJ-0895"/>
    <s v="Otimização de Financeiro 568"/>
    <x v="96"/>
    <x v="6"/>
    <x v="3"/>
    <x v="261"/>
    <d v="2026-12-31T00:00:00"/>
    <x v="11"/>
    <x v="3"/>
    <n v="68423.56"/>
    <n v="71074.100000000006"/>
    <n v="133481.79999999999"/>
    <n v="5283"/>
    <n v="5458"/>
    <s v="Híbrido"/>
    <n v="-2650.5400000000081"/>
    <n v="138"/>
  </r>
  <r>
    <s v="PRJ-0896"/>
    <s v="Otimização de Plataforma 998"/>
    <x v="243"/>
    <x v="7"/>
    <x v="3"/>
    <x v="252"/>
    <d v="2026-03-02T00:00:00"/>
    <x v="94"/>
    <x v="0"/>
    <n v="93593.78"/>
    <n v="23548.91"/>
    <n v="43013.83"/>
    <n v="691"/>
    <n v="121"/>
    <s v="Cascata"/>
    <n v="70044.87"/>
    <s v=""/>
  </r>
  <r>
    <s v="PRJ-0897"/>
    <s v="Padronização de Atendimento 205"/>
    <x v="151"/>
    <x v="7"/>
    <x v="1"/>
    <x v="321"/>
    <d v="2026-11-06T00:00:00"/>
    <x v="64"/>
    <x v="0"/>
    <n v="50000"/>
    <n v="30087.58"/>
    <n v="36422.79"/>
    <n v="1395"/>
    <n v="654"/>
    <s v="Ágil"/>
    <n v="19912.419999999998"/>
    <s v=""/>
  </r>
  <r>
    <s v="PRJ-0898"/>
    <s v="Otimização de Supply 204"/>
    <x v="94"/>
    <x v="0"/>
    <x v="1"/>
    <x v="110"/>
    <d v="2026-12-31T00:00:00"/>
    <x v="268"/>
    <x v="0"/>
    <n v="50000"/>
    <n v="45028.84"/>
    <n v="91712.38"/>
    <n v="627"/>
    <n v="572"/>
    <s v="Híbrido"/>
    <n v="4971.1600000000035"/>
    <s v=""/>
  </r>
  <r>
    <s v="PRJ-0899"/>
    <s v="Padronização de Processos 033"/>
    <x v="3"/>
    <x v="3"/>
    <x v="0"/>
    <x v="119"/>
    <d v="2026-08-21T00:00:00"/>
    <x v="287"/>
    <x v="0"/>
    <n v="152452.07999999999"/>
    <n v="161890.31"/>
    <n v="180679.54"/>
    <n v="922"/>
    <n v="752"/>
    <s v="Cascata"/>
    <n v="-9438.2300000000105"/>
    <s v=""/>
  </r>
  <r>
    <s v="PRJ-0900"/>
    <s v="Otimização de Atendimento 600"/>
    <x v="170"/>
    <x v="3"/>
    <x v="3"/>
    <x v="13"/>
    <d v="2026-03-25T00:00:00"/>
    <x v="42"/>
    <x v="0"/>
    <n v="156296.34"/>
    <n v="132829.43"/>
    <n v="63869.15"/>
    <n v="488"/>
    <n v="392"/>
    <s v="Ágil"/>
    <n v="23466.910000000003"/>
    <s v=""/>
  </r>
  <r>
    <s v="PRJ-0901"/>
    <s v="Implantação de Operações 624"/>
    <x v="177"/>
    <x v="4"/>
    <x v="0"/>
    <x v="98"/>
    <d v="2026-12-31T00:00:00"/>
    <x v="92"/>
    <x v="0"/>
    <n v="50000"/>
    <n v="35452.47"/>
    <n v="17754.310000000001"/>
    <n v="322"/>
    <n v="220"/>
    <s v="Híbrido"/>
    <n v="14547.529999999999"/>
    <s v=""/>
  </r>
  <r>
    <s v="PRJ-0902"/>
    <s v="Modernização de Financeiro 392"/>
    <x v="13"/>
    <x v="1"/>
    <x v="3"/>
    <x v="281"/>
    <d v="2026-12-31T00:00:00"/>
    <x v="33"/>
    <x v="0"/>
    <n v="185316.61"/>
    <n v="157502.16"/>
    <n v="233029.17"/>
    <n v="3979"/>
    <n v="2738"/>
    <s v="Cascata"/>
    <n v="27814.449999999983"/>
    <s v=""/>
  </r>
  <r>
    <s v="PRJ-0903"/>
    <s v="Revisão de Financeiro 188"/>
    <x v="39"/>
    <x v="8"/>
    <x v="3"/>
    <x v="116"/>
    <d v="2026-06-10T00:00:00"/>
    <x v="6"/>
    <x v="0"/>
    <n v="50765.37"/>
    <n v="0"/>
    <n v="34132.58"/>
    <n v="520"/>
    <n v="0"/>
    <s v="Ágil"/>
    <n v="50765.37"/>
    <s v=""/>
  </r>
  <r>
    <s v="PRJ-0904"/>
    <s v="Padronização de Dados 865"/>
    <x v="181"/>
    <x v="1"/>
    <x v="3"/>
    <x v="13"/>
    <d v="2026-04-16T00:00:00"/>
    <x v="55"/>
    <x v="123"/>
    <n v="102453.98"/>
    <n v="9190.85"/>
    <n v="64969.14"/>
    <n v="3436"/>
    <n v="304"/>
    <s v="Híbrido"/>
    <n v="93263.12999999999"/>
    <n v="14"/>
  </r>
  <r>
    <s v="PRJ-0905"/>
    <s v="Padronização de Relatórios 919"/>
    <x v="213"/>
    <x v="0"/>
    <x v="1"/>
    <x v="36"/>
    <d v="2026-12-31T00:00:00"/>
    <x v="236"/>
    <x v="0"/>
    <n v="73012.75"/>
    <n v="38728.26"/>
    <n v="74439.570000000007"/>
    <n v="762"/>
    <n v="472"/>
    <s v="Cascata"/>
    <n v="34284.49"/>
    <s v=""/>
  </r>
  <r>
    <s v="PRJ-0906"/>
    <s v="Modernização de RH 970"/>
    <x v="206"/>
    <x v="7"/>
    <x v="0"/>
    <x v="242"/>
    <d v="2026-12-04T00:00:00"/>
    <x v="133"/>
    <x v="0"/>
    <n v="388420.48"/>
    <n v="454605.46"/>
    <n v="293974.71000000002"/>
    <n v="2392"/>
    <n v="2051"/>
    <s v="Ágil"/>
    <n v="-66184.98000000004"/>
    <s v=""/>
  </r>
  <r>
    <s v="PRJ-0907"/>
    <s v="Modernização de Relatórios 863"/>
    <x v="115"/>
    <x v="4"/>
    <x v="3"/>
    <x v="66"/>
    <d v="2026-12-31T00:00:00"/>
    <x v="88"/>
    <x v="0"/>
    <n v="92080.56"/>
    <n v="24734"/>
    <n v="128687.2"/>
    <n v="1444"/>
    <n v="420"/>
    <s v="Híbrido"/>
    <n v="67346.559999999998"/>
    <s v=""/>
  </r>
  <r>
    <s v="PRJ-0908"/>
    <s v="Automação de RH 744"/>
    <x v="144"/>
    <x v="1"/>
    <x v="3"/>
    <x v="15"/>
    <d v="2026-04-16T00:00:00"/>
    <x v="14"/>
    <x v="0"/>
    <n v="274506.09000000003"/>
    <n v="184641.09"/>
    <n v="499683.61"/>
    <n v="762"/>
    <n v="471"/>
    <s v="Cascata"/>
    <n v="89865.000000000029"/>
    <s v=""/>
  </r>
  <r>
    <s v="PRJ-0909"/>
    <s v="Integração de Relatórios 500"/>
    <x v="244"/>
    <x v="7"/>
    <x v="3"/>
    <x v="280"/>
    <d v="2026-04-26T00:00:00"/>
    <x v="154"/>
    <x v="0"/>
    <n v="55790.080000000002"/>
    <n v="48540.79"/>
    <n v="59888.5"/>
    <n v="2570"/>
    <n v="2585"/>
    <s v="Ágil"/>
    <n v="7249.2900000000009"/>
    <s v=""/>
  </r>
  <r>
    <s v="PRJ-0910"/>
    <s v="Implantação de Operações 386"/>
    <x v="188"/>
    <x v="4"/>
    <x v="3"/>
    <x v="163"/>
    <d v="2026-12-31T00:00:00"/>
    <x v="69"/>
    <x v="0"/>
    <n v="240001.37"/>
    <n v="190578.06"/>
    <n v="482574.22"/>
    <n v="688"/>
    <n v="531"/>
    <s v="Híbrido"/>
    <n v="49423.31"/>
    <s v=""/>
  </r>
  <r>
    <s v="PRJ-0911"/>
    <s v="Integração de Financeiro 282"/>
    <x v="13"/>
    <x v="6"/>
    <x v="2"/>
    <x v="114"/>
    <d v="2026-05-11T00:00:00"/>
    <x v="111"/>
    <x v="0"/>
    <n v="112356.62"/>
    <n v="94941.68"/>
    <n v="245773.45"/>
    <n v="816"/>
    <n v="518"/>
    <s v="Cascata"/>
    <n v="17414.940000000002"/>
    <s v=""/>
  </r>
  <r>
    <s v="PRJ-0912"/>
    <s v="Automação de Dados 456"/>
    <x v="93"/>
    <x v="5"/>
    <x v="3"/>
    <x v="267"/>
    <d v="2026-12-31T00:00:00"/>
    <x v="81"/>
    <x v="0"/>
    <n v="188647.13"/>
    <n v="93735.96"/>
    <n v="254946.34"/>
    <n v="3765"/>
    <n v="2244"/>
    <s v="Ágil"/>
    <n v="94911.17"/>
    <s v=""/>
  </r>
  <r>
    <s v="PRJ-0913"/>
    <s v="Expansão de Plataforma 239"/>
    <x v="149"/>
    <x v="0"/>
    <x v="1"/>
    <x v="17"/>
    <d v="2026-05-05T00:00:00"/>
    <x v="6"/>
    <x v="0"/>
    <n v="50000"/>
    <n v="0"/>
    <n v="82061.13"/>
    <n v="2222"/>
    <n v="0"/>
    <s v="Híbrido"/>
    <n v="50000"/>
    <s v=""/>
  </r>
  <r>
    <s v="PRJ-0914"/>
    <s v="Implantação de RH 149"/>
    <x v="97"/>
    <x v="3"/>
    <x v="3"/>
    <x v="322"/>
    <d v="2026-11-04T00:00:00"/>
    <x v="6"/>
    <x v="0"/>
    <n v="130591.34"/>
    <n v="0"/>
    <n v="42188.99"/>
    <n v="1336"/>
    <n v="0"/>
    <s v="Cascata"/>
    <n v="130591.34"/>
    <s v=""/>
  </r>
  <r>
    <s v="PRJ-0915"/>
    <s v="Modernização de Dados 130"/>
    <x v="101"/>
    <x v="1"/>
    <x v="3"/>
    <x v="184"/>
    <d v="2026-06-07T00:00:00"/>
    <x v="247"/>
    <x v="124"/>
    <n v="240345.79"/>
    <n v="204680.91"/>
    <n v="255517.82"/>
    <n v="513"/>
    <n v="558"/>
    <s v="Ágil"/>
    <n v="35664.880000000005"/>
    <n v="21"/>
  </r>
  <r>
    <s v="PRJ-0916"/>
    <s v="Revisão de Operações 190"/>
    <x v="237"/>
    <x v="4"/>
    <x v="3"/>
    <x v="150"/>
    <d v="2026-12-08T00:00:00"/>
    <x v="81"/>
    <x v="0"/>
    <n v="175511.89"/>
    <n v="54367.7"/>
    <n v="271264.26"/>
    <n v="2906"/>
    <n v="1290"/>
    <s v="Híbrido"/>
    <n v="121144.19000000002"/>
    <s v=""/>
  </r>
  <r>
    <s v="PRJ-0917"/>
    <s v="Revisão de Operações 268"/>
    <x v="53"/>
    <x v="8"/>
    <x v="3"/>
    <x v="226"/>
    <d v="2026-11-08T00:00:00"/>
    <x v="81"/>
    <x v="125"/>
    <n v="303936.75"/>
    <n v="341557.93"/>
    <n v="450852.34"/>
    <n v="461"/>
    <n v="421"/>
    <s v="Cascata"/>
    <n v="-37621.179999999993"/>
    <n v="23"/>
  </r>
  <r>
    <s v="PRJ-0918"/>
    <s v="Modernização de Financeiro 700"/>
    <x v="110"/>
    <x v="0"/>
    <x v="3"/>
    <x v="323"/>
    <d v="2026-10-06T00:00:00"/>
    <x v="64"/>
    <x v="0"/>
    <n v="355853.85"/>
    <n v="286864.90999999997"/>
    <n v="574627.74"/>
    <n v="428"/>
    <n v="311"/>
    <s v="Ágil"/>
    <n v="68988.94"/>
    <s v=""/>
  </r>
  <r>
    <s v="PRJ-0919"/>
    <s v="Otimização de Processos 609"/>
    <x v="159"/>
    <x v="1"/>
    <x v="1"/>
    <x v="78"/>
    <d v="2026-05-23T00:00:00"/>
    <x v="51"/>
    <x v="0"/>
    <n v="113140.73"/>
    <n v="51411.199999999997"/>
    <n v="166158.16"/>
    <n v="1004"/>
    <n v="375"/>
    <s v="Híbrido"/>
    <n v="61729.53"/>
    <s v=""/>
  </r>
  <r>
    <s v="PRJ-0920"/>
    <s v="Automação de Processos 840"/>
    <x v="35"/>
    <x v="5"/>
    <x v="3"/>
    <x v="238"/>
    <d v="2026-09-10T00:00:00"/>
    <x v="325"/>
    <x v="0"/>
    <n v="50000"/>
    <n v="19871.3"/>
    <n v="37602.800000000003"/>
    <n v="1077"/>
    <n v="462"/>
    <s v="Cascata"/>
    <n v="30128.7"/>
    <s v=""/>
  </r>
  <r>
    <s v="PRJ-0921"/>
    <s v="Expansão de Relatórios 249"/>
    <x v="85"/>
    <x v="3"/>
    <x v="3"/>
    <x v="324"/>
    <d v="2026-09-18T00:00:00"/>
    <x v="37"/>
    <x v="0"/>
    <n v="244302.32"/>
    <n v="89819.68"/>
    <n v="369677.68"/>
    <n v="894"/>
    <n v="341"/>
    <s v="Ágil"/>
    <n v="154482.64000000001"/>
    <s v=""/>
  </r>
  <r>
    <s v="PRJ-0922"/>
    <s v="Expansão de Relatórios 877"/>
    <x v="236"/>
    <x v="3"/>
    <x v="0"/>
    <x v="159"/>
    <d v="2026-08-19T00:00:00"/>
    <x v="62"/>
    <x v="0"/>
    <n v="103730.89"/>
    <n v="67038.98"/>
    <n v="72819.710000000006"/>
    <n v="1311"/>
    <n v="804"/>
    <s v="Híbrido"/>
    <n v="36691.910000000003"/>
    <s v=""/>
  </r>
  <r>
    <s v="PRJ-0923"/>
    <s v="Modernização de Plataforma 182"/>
    <x v="243"/>
    <x v="5"/>
    <x v="3"/>
    <x v="132"/>
    <d v="2026-12-31T00:00:00"/>
    <x v="92"/>
    <x v="0"/>
    <n v="69795.13"/>
    <n v="34537.800000000003"/>
    <n v="134485.70000000001"/>
    <n v="606"/>
    <n v="366"/>
    <s v="Cascata"/>
    <n v="35257.33"/>
    <s v=""/>
  </r>
  <r>
    <s v="PRJ-0924"/>
    <s v="Expansão de RH 729"/>
    <x v="144"/>
    <x v="0"/>
    <x v="2"/>
    <x v="185"/>
    <d v="2026-12-31T00:00:00"/>
    <x v="160"/>
    <x v="3"/>
    <n v="152462.15"/>
    <n v="157961.38"/>
    <n v="70798.48"/>
    <n v="2463"/>
    <n v="2099"/>
    <s v="Ágil"/>
    <n v="-5499.2300000000105"/>
    <n v="104"/>
  </r>
  <r>
    <s v="PRJ-0925"/>
    <s v="Expansão de Plataforma 151"/>
    <x v="44"/>
    <x v="5"/>
    <x v="0"/>
    <x v="268"/>
    <d v="2026-04-14T00:00:00"/>
    <x v="107"/>
    <x v="0"/>
    <n v="1041525.51"/>
    <n v="820350.01"/>
    <n v="2115719.2999999998"/>
    <n v="3958"/>
    <n v="2886"/>
    <s v="Híbrido"/>
    <n v="221175.5"/>
    <s v=""/>
  </r>
  <r>
    <s v="PRJ-0926"/>
    <s v="Automação de Supply 272"/>
    <x v="245"/>
    <x v="9"/>
    <x v="3"/>
    <x v="183"/>
    <d v="2026-08-10T00:00:00"/>
    <x v="7"/>
    <x v="0"/>
    <n v="296505.73"/>
    <n v="135005.79999999999"/>
    <n v="365639.96"/>
    <n v="2759"/>
    <n v="2174"/>
    <s v="Cascata"/>
    <n v="161499.93"/>
    <s v=""/>
  </r>
  <r>
    <s v="PRJ-0927"/>
    <s v="Revisão de Atendimento 668"/>
    <x v="199"/>
    <x v="8"/>
    <x v="1"/>
    <x v="307"/>
    <d v="2026-06-01T00:00:00"/>
    <x v="47"/>
    <x v="0"/>
    <n v="163349.39000000001"/>
    <n v="38512.67"/>
    <n v="148888.44"/>
    <n v="257"/>
    <n v="88"/>
    <s v="Ágil"/>
    <n v="124836.72000000002"/>
    <s v=""/>
  </r>
  <r>
    <s v="PRJ-0928"/>
    <s v="Implantação de Relatórios 502"/>
    <x v="236"/>
    <x v="5"/>
    <x v="0"/>
    <x v="68"/>
    <d v="2026-11-23T00:00:00"/>
    <x v="225"/>
    <x v="0"/>
    <n v="160401.60999999999"/>
    <n v="76287.47"/>
    <n v="81870.899999999994"/>
    <n v="5384"/>
    <n v="2922"/>
    <s v="Híbrido"/>
    <n v="84114.139999999985"/>
    <s v=""/>
  </r>
  <r>
    <s v="PRJ-0929"/>
    <s v="Revisão de Segurança 034"/>
    <x v="41"/>
    <x v="6"/>
    <x v="0"/>
    <x v="268"/>
    <d v="2026-03-10T00:00:00"/>
    <x v="188"/>
    <x v="57"/>
    <n v="165256.14000000001"/>
    <n v="163029.1"/>
    <n v="353081.06"/>
    <n v="1413"/>
    <n v="1515"/>
    <s v="Cascata"/>
    <n v="2227.0400000000081"/>
    <n v="53"/>
  </r>
  <r>
    <s v="PRJ-0930"/>
    <s v="Modernização de Financeiro 452"/>
    <x v="111"/>
    <x v="6"/>
    <x v="0"/>
    <x v="9"/>
    <d v="2026-11-13T00:00:00"/>
    <x v="305"/>
    <x v="0"/>
    <n v="206899"/>
    <n v="65618.92"/>
    <n v="183487.11"/>
    <n v="4336"/>
    <n v="1516"/>
    <s v="Ágil"/>
    <n v="141280.08000000002"/>
    <s v=""/>
  </r>
  <r>
    <s v="PRJ-0931"/>
    <s v="Modernização de RH 618"/>
    <x v="98"/>
    <x v="8"/>
    <x v="0"/>
    <x v="158"/>
    <d v="2026-12-24T00:00:00"/>
    <x v="323"/>
    <x v="0"/>
    <n v="122955.12"/>
    <n v="115422.71"/>
    <n v="136955.47"/>
    <n v="234"/>
    <n v="207"/>
    <s v="Híbrido"/>
    <n v="7532.4099999999889"/>
    <s v=""/>
  </r>
  <r>
    <s v="PRJ-0932"/>
    <s v="Implantação de Dados 753"/>
    <x v="87"/>
    <x v="7"/>
    <x v="1"/>
    <x v="325"/>
    <d v="2026-08-19T00:00:00"/>
    <x v="324"/>
    <x v="0"/>
    <n v="86692.19"/>
    <n v="40846.720000000001"/>
    <n v="159302.72"/>
    <n v="2784"/>
    <n v="1580"/>
    <s v="Cascata"/>
    <n v="45845.47"/>
    <s v=""/>
  </r>
  <r>
    <s v="PRJ-0933"/>
    <s v="Padronização de Relatórios 260"/>
    <x v="25"/>
    <x v="1"/>
    <x v="2"/>
    <x v="84"/>
    <d v="2026-04-24T00:00:00"/>
    <x v="175"/>
    <x v="0"/>
    <n v="50000"/>
    <n v="11023.9"/>
    <n v="50975.61"/>
    <n v="2496"/>
    <n v="831"/>
    <s v="Ágil"/>
    <n v="38976.1"/>
    <s v=""/>
  </r>
  <r>
    <s v="PRJ-0934"/>
    <s v="Integração de Segurança 582"/>
    <x v="203"/>
    <x v="9"/>
    <x v="0"/>
    <x v="307"/>
    <d v="2026-08-11T00:00:00"/>
    <x v="200"/>
    <x v="0"/>
    <n v="50000"/>
    <n v="41341.49"/>
    <n v="92902.64"/>
    <n v="1692"/>
    <n v="1234"/>
    <s v="Híbrido"/>
    <n v="8658.510000000002"/>
    <s v=""/>
  </r>
  <r>
    <s v="PRJ-0935"/>
    <s v="Modernização de Processos 836"/>
    <x v="241"/>
    <x v="0"/>
    <x v="1"/>
    <x v="326"/>
    <d v="2026-05-14T00:00:00"/>
    <x v="237"/>
    <x v="0"/>
    <n v="50000"/>
    <n v="35132.730000000003"/>
    <n v="74078.899999999994"/>
    <n v="987"/>
    <n v="567"/>
    <s v="Cascata"/>
    <n v="14867.269999999997"/>
    <s v=""/>
  </r>
  <r>
    <s v="PRJ-0936"/>
    <s v="Padronização de Financeiro 125"/>
    <x v="33"/>
    <x v="5"/>
    <x v="1"/>
    <x v="321"/>
    <d v="2026-10-19T00:00:00"/>
    <x v="6"/>
    <x v="0"/>
    <n v="91299.76"/>
    <n v="0"/>
    <n v="122743.41"/>
    <n v="1284"/>
    <n v="0"/>
    <s v="Ágil"/>
    <n v="91299.76"/>
    <s v=""/>
  </r>
  <r>
    <s v="PRJ-0937"/>
    <s v="Otimização de RH 283"/>
    <x v="144"/>
    <x v="0"/>
    <x v="1"/>
    <x v="91"/>
    <d v="2026-05-29T00:00:00"/>
    <x v="6"/>
    <x v="0"/>
    <n v="66108.88"/>
    <n v="0"/>
    <n v="118345.47"/>
    <n v="493"/>
    <n v="0"/>
    <s v="Híbrido"/>
    <n v="66108.88"/>
    <s v=""/>
  </r>
  <r>
    <s v="PRJ-0938"/>
    <s v="Expansão de RH 855"/>
    <x v="176"/>
    <x v="5"/>
    <x v="3"/>
    <x v="11"/>
    <d v="2026-03-06T00:00:00"/>
    <x v="12"/>
    <x v="126"/>
    <n v="74621.45"/>
    <n v="33807.699999999997"/>
    <n v="113263.83"/>
    <n v="293"/>
    <n v="130"/>
    <s v="Cascata"/>
    <n v="40813.75"/>
    <n v="12"/>
  </r>
  <r>
    <s v="PRJ-0939"/>
    <s v="Otimização de RH 555"/>
    <x v="97"/>
    <x v="9"/>
    <x v="3"/>
    <x v="179"/>
    <d v="2026-03-10T00:00:00"/>
    <x v="190"/>
    <x v="0"/>
    <n v="76381.850000000006"/>
    <n v="62973.120000000003"/>
    <n v="42684.68"/>
    <n v="334"/>
    <n v="298"/>
    <s v="Ágil"/>
    <n v="13408.730000000003"/>
    <s v=""/>
  </r>
  <r>
    <s v="PRJ-0940"/>
    <s v="Expansão de Relatórios 398"/>
    <x v="204"/>
    <x v="3"/>
    <x v="0"/>
    <x v="74"/>
    <d v="2026-12-20T00:00:00"/>
    <x v="196"/>
    <x v="0"/>
    <n v="124949.06"/>
    <n v="78436.62"/>
    <n v="190831.57"/>
    <n v="977"/>
    <n v="556"/>
    <s v="Híbrido"/>
    <n v="46512.44"/>
    <s v=""/>
  </r>
  <r>
    <s v="PRJ-0941"/>
    <s v="Revisão de RH 865"/>
    <x v="174"/>
    <x v="9"/>
    <x v="3"/>
    <x v="218"/>
    <d v="2026-05-09T00:00:00"/>
    <x v="74"/>
    <x v="0"/>
    <n v="97391.44"/>
    <n v="17774.64"/>
    <n v="112789.97"/>
    <n v="1159"/>
    <n v="181"/>
    <s v="Cascata"/>
    <n v="79616.800000000003"/>
    <s v=""/>
  </r>
  <r>
    <s v="PRJ-0942"/>
    <s v="Expansão de Processos 310"/>
    <x v="212"/>
    <x v="7"/>
    <x v="1"/>
    <x v="53"/>
    <d v="2026-11-06T00:00:00"/>
    <x v="221"/>
    <x v="0"/>
    <n v="322162.42"/>
    <n v="270627.96999999997"/>
    <n v="136358.44"/>
    <n v="1812"/>
    <n v="1373"/>
    <s v="Ágil"/>
    <n v="51534.450000000012"/>
    <s v=""/>
  </r>
  <r>
    <s v="PRJ-0943"/>
    <s v="Implantação de Financeiro 617"/>
    <x v="96"/>
    <x v="9"/>
    <x v="2"/>
    <x v="143"/>
    <d v="2026-11-18T00:00:00"/>
    <x v="75"/>
    <x v="0"/>
    <n v="50000"/>
    <n v="15984.15"/>
    <n v="68725.53"/>
    <n v="1536"/>
    <n v="702"/>
    <s v="Híbrido"/>
    <n v="34015.85"/>
    <s v=""/>
  </r>
  <r>
    <s v="PRJ-0944"/>
    <s v="Implantação de Supply 273"/>
    <x v="132"/>
    <x v="0"/>
    <x v="3"/>
    <x v="101"/>
    <d v="2026-07-26T00:00:00"/>
    <x v="247"/>
    <x v="0"/>
    <n v="50000"/>
    <n v="33445.53"/>
    <n v="100895.55"/>
    <n v="1349"/>
    <n v="967"/>
    <s v="Cascata"/>
    <n v="16554.47"/>
    <s v=""/>
  </r>
  <r>
    <s v="PRJ-0945"/>
    <s v="Otimização de Operações 019"/>
    <x v="74"/>
    <x v="4"/>
    <x v="0"/>
    <x v="261"/>
    <d v="2026-10-09T00:00:00"/>
    <x v="326"/>
    <x v="127"/>
    <n v="52874.49"/>
    <n v="61860.85"/>
    <n v="108822.22"/>
    <n v="1830"/>
    <n v="2128"/>
    <s v="Ágil"/>
    <n v="-8986.36"/>
    <n v="77"/>
  </r>
  <r>
    <s v="PRJ-0946"/>
    <s v="Revisão de Atendimento 006"/>
    <x v="141"/>
    <x v="3"/>
    <x v="2"/>
    <x v="248"/>
    <d v="2026-08-24T00:00:00"/>
    <x v="39"/>
    <x v="0"/>
    <n v="50000"/>
    <n v="23575.69"/>
    <n v="80322.48"/>
    <n v="5246"/>
    <n v="2227"/>
    <s v="Híbrido"/>
    <n v="26424.31"/>
    <s v=""/>
  </r>
  <r>
    <s v="PRJ-0947"/>
    <s v="Otimização de Plataforma 119"/>
    <x v="5"/>
    <x v="7"/>
    <x v="1"/>
    <x v="327"/>
    <d v="2026-09-27T00:00:00"/>
    <x v="326"/>
    <x v="0"/>
    <n v="173264.5"/>
    <n v="24019.35"/>
    <n v="158987.14000000001"/>
    <n v="1750"/>
    <n v="240"/>
    <s v="Cascata"/>
    <n v="149245.15"/>
    <s v=""/>
  </r>
  <r>
    <s v="PRJ-0948"/>
    <s v="Automação de Segurança 045"/>
    <x v="90"/>
    <x v="9"/>
    <x v="0"/>
    <x v="171"/>
    <d v="2026-08-15T00:00:00"/>
    <x v="229"/>
    <x v="0"/>
    <n v="82205.09"/>
    <n v="35054.6"/>
    <n v="65711.77"/>
    <n v="1587"/>
    <n v="541"/>
    <s v="Ágil"/>
    <n v="47150.49"/>
    <s v=""/>
  </r>
  <r>
    <s v="PRJ-0949"/>
    <s v="Automação de Operações 535"/>
    <x v="237"/>
    <x v="0"/>
    <x v="3"/>
    <x v="108"/>
    <d v="2026-12-31T00:00:00"/>
    <x v="6"/>
    <x v="0"/>
    <n v="92038.03"/>
    <n v="0"/>
    <n v="32078.94"/>
    <n v="770"/>
    <n v="0"/>
    <s v="Híbrido"/>
    <n v="92038.03"/>
    <s v=""/>
  </r>
  <r>
    <s v="PRJ-0950"/>
    <s v="Integração de Atendimento 831"/>
    <x v="34"/>
    <x v="1"/>
    <x v="0"/>
    <x v="166"/>
    <d v="2026-10-19T00:00:00"/>
    <x v="327"/>
    <x v="0"/>
    <n v="50000"/>
    <n v="20505.77"/>
    <n v="37564.69"/>
    <n v="986"/>
    <n v="468"/>
    <s v="Cascata"/>
    <n v="29494.23"/>
    <s v=""/>
  </r>
  <r>
    <s v="PRJ-0951"/>
    <s v="Implantação de Dados 783"/>
    <x v="185"/>
    <x v="6"/>
    <x v="1"/>
    <x v="85"/>
    <d v="2026-12-31T00:00:00"/>
    <x v="323"/>
    <x v="0"/>
    <n v="105766.37"/>
    <n v="29611.279999999999"/>
    <n v="85044.85"/>
    <n v="2947"/>
    <n v="567"/>
    <s v="Ágil"/>
    <n v="76155.09"/>
    <s v=""/>
  </r>
  <r>
    <s v="PRJ-0952"/>
    <s v="Integração de Dados 311"/>
    <x v="185"/>
    <x v="5"/>
    <x v="3"/>
    <x v="244"/>
    <d v="2026-03-08T00:00:00"/>
    <x v="94"/>
    <x v="0"/>
    <n v="184781.33"/>
    <n v="139859.93"/>
    <n v="117793.97"/>
    <n v="1533"/>
    <n v="1044"/>
    <s v="Híbrido"/>
    <n v="44921.399999999994"/>
    <s v=""/>
  </r>
  <r>
    <s v="PRJ-0953"/>
    <s v="Revisão de RH 635"/>
    <x v="164"/>
    <x v="6"/>
    <x v="2"/>
    <x v="117"/>
    <d v="2026-06-22T00:00:00"/>
    <x v="180"/>
    <x v="0"/>
    <n v="50000"/>
    <n v="57470.71"/>
    <n v="104089.82"/>
    <n v="2051"/>
    <n v="1526"/>
    <s v="Cascata"/>
    <n v="-7470.7099999999991"/>
    <s v=""/>
  </r>
  <r>
    <s v="PRJ-0954"/>
    <s v="Implantação de Processos 683"/>
    <x v="209"/>
    <x v="0"/>
    <x v="2"/>
    <x v="258"/>
    <d v="2026-12-31T00:00:00"/>
    <x v="52"/>
    <x v="0"/>
    <n v="55691.89"/>
    <n v="28894.15"/>
    <n v="21433.25"/>
    <n v="1927"/>
    <n v="797"/>
    <s v="Ágil"/>
    <n v="26797.739999999998"/>
    <s v=""/>
  </r>
  <r>
    <s v="PRJ-0955"/>
    <s v="Automação de Relatórios 650"/>
    <x v="70"/>
    <x v="6"/>
    <x v="2"/>
    <x v="287"/>
    <d v="2026-05-21T00:00:00"/>
    <x v="34"/>
    <x v="0"/>
    <n v="451128.28"/>
    <n v="248654.81"/>
    <n v="885938.71"/>
    <n v="2683"/>
    <n v="1447"/>
    <s v="Híbrido"/>
    <n v="202473.47000000003"/>
    <s v=""/>
  </r>
  <r>
    <s v="PRJ-0956"/>
    <s v="Revisão de Processos 011"/>
    <x v="193"/>
    <x v="1"/>
    <x v="2"/>
    <x v="72"/>
    <d v="2026-06-23T00:00:00"/>
    <x v="234"/>
    <x v="128"/>
    <n v="292877.05"/>
    <n v="356981.95"/>
    <n v="172282.75"/>
    <n v="7238"/>
    <n v="7996"/>
    <s v="Cascata"/>
    <n v="-64104.900000000023"/>
    <n v="165"/>
  </r>
  <r>
    <s v="PRJ-0957"/>
    <s v="Otimização de RH 103"/>
    <x v="79"/>
    <x v="9"/>
    <x v="3"/>
    <x v="245"/>
    <d v="2026-12-31T00:00:00"/>
    <x v="48"/>
    <x v="3"/>
    <n v="50000"/>
    <n v="44928.85"/>
    <n v="41745.83"/>
    <n v="856"/>
    <n v="1015"/>
    <s v="Ágil"/>
    <n v="5071.1500000000015"/>
    <n v="30"/>
  </r>
  <r>
    <s v="PRJ-0958"/>
    <s v="Integração de Atendimento 792"/>
    <x v="211"/>
    <x v="5"/>
    <x v="3"/>
    <x v="231"/>
    <d v="2026-12-31T00:00:00"/>
    <x v="318"/>
    <x v="0"/>
    <n v="106800.87"/>
    <n v="35479.519999999997"/>
    <n v="233079.83"/>
    <n v="570"/>
    <n v="215"/>
    <s v="Híbrido"/>
    <n v="71321.350000000006"/>
    <s v=""/>
  </r>
  <r>
    <s v="PRJ-0959"/>
    <s v="Revisão de Operações 632"/>
    <x v="139"/>
    <x v="1"/>
    <x v="1"/>
    <x v="81"/>
    <d v="2026-04-13T00:00:00"/>
    <x v="68"/>
    <x v="70"/>
    <n v="98300.64"/>
    <n v="98915.63"/>
    <n v="117634.61"/>
    <n v="1547"/>
    <n v="1732"/>
    <s v="Cascata"/>
    <n v="-614.99000000000524"/>
    <n v="80"/>
  </r>
  <r>
    <s v="PRJ-0960"/>
    <s v="Otimização de Processos 408"/>
    <x v="68"/>
    <x v="2"/>
    <x v="0"/>
    <x v="214"/>
    <d v="2026-07-08T00:00:00"/>
    <x v="296"/>
    <x v="0"/>
    <n v="85204.46"/>
    <n v="33844.97"/>
    <n v="159947.70000000001"/>
    <n v="4115"/>
    <n v="1963"/>
    <s v="Ágil"/>
    <n v="51359.490000000005"/>
    <s v=""/>
  </r>
  <r>
    <s v="PRJ-0961"/>
    <s v="Integração de Operações 869"/>
    <x v="175"/>
    <x v="4"/>
    <x v="1"/>
    <x v="98"/>
    <d v="2026-12-31T00:00:00"/>
    <x v="92"/>
    <x v="0"/>
    <n v="50000"/>
    <n v="24893.02"/>
    <n v="25678.45"/>
    <n v="449"/>
    <n v="233"/>
    <s v="Híbrido"/>
    <n v="25106.98"/>
    <s v=""/>
  </r>
  <r>
    <s v="PRJ-0962"/>
    <s v="Integração de Financeiro 321"/>
    <x v="224"/>
    <x v="1"/>
    <x v="0"/>
    <x v="15"/>
    <d v="2026-07-09T00:00:00"/>
    <x v="14"/>
    <x v="0"/>
    <n v="50000"/>
    <n v="35223.58"/>
    <n v="43708.15"/>
    <n v="6601"/>
    <n v="4099"/>
    <s v="Cascata"/>
    <n v="14776.419999999998"/>
    <s v=""/>
  </r>
  <r>
    <s v="PRJ-0963"/>
    <s v="Otimização de Processos 586"/>
    <x v="121"/>
    <x v="3"/>
    <x v="3"/>
    <x v="61"/>
    <d v="2026-12-31T00:00:00"/>
    <x v="114"/>
    <x v="0"/>
    <n v="126166.48"/>
    <n v="60830.92"/>
    <n v="49922.78"/>
    <n v="654"/>
    <n v="358"/>
    <s v="Ágil"/>
    <n v="65335.56"/>
    <s v=""/>
  </r>
  <r>
    <s v="PRJ-0964"/>
    <s v="Integração de Relatórios 632"/>
    <x v="161"/>
    <x v="9"/>
    <x v="1"/>
    <x v="143"/>
    <d v="2026-12-10T00:00:00"/>
    <x v="209"/>
    <x v="129"/>
    <n v="138354.57999999999"/>
    <n v="134880.88"/>
    <n v="280600.14"/>
    <n v="3596"/>
    <n v="3650"/>
    <s v="Híbrido"/>
    <n v="3473.6999999999825"/>
    <n v="81"/>
  </r>
  <r>
    <s v="PRJ-0965"/>
    <s v="Expansão de Processos 237"/>
    <x v="193"/>
    <x v="2"/>
    <x v="3"/>
    <x v="286"/>
    <d v="2026-09-19T00:00:00"/>
    <x v="315"/>
    <x v="0"/>
    <n v="278828.49"/>
    <n v="168393.16"/>
    <n v="203527.23"/>
    <n v="2075"/>
    <n v="907"/>
    <s v="Cascata"/>
    <n v="110435.32999999999"/>
    <s v=""/>
  </r>
  <r>
    <s v="PRJ-0966"/>
    <s v="Modernização de Supply 863"/>
    <x v="64"/>
    <x v="5"/>
    <x v="0"/>
    <x v="270"/>
    <d v="2026-06-08T00:00:00"/>
    <x v="328"/>
    <x v="0"/>
    <n v="245908.99"/>
    <n v="115395.15"/>
    <n v="531931.89"/>
    <n v="2210"/>
    <n v="1175"/>
    <s v="Ágil"/>
    <n v="130513.84"/>
    <s v=""/>
  </r>
  <r>
    <s v="PRJ-0967"/>
    <s v="Padronização de Processos 703"/>
    <x v="36"/>
    <x v="4"/>
    <x v="1"/>
    <x v="3"/>
    <d v="2026-12-31T00:00:00"/>
    <x v="73"/>
    <x v="3"/>
    <n v="731308.19"/>
    <n v="710180.28"/>
    <n v="497790.21"/>
    <n v="1118"/>
    <n v="1079"/>
    <s v="Híbrido"/>
    <n v="21127.909999999916"/>
    <n v="34"/>
  </r>
  <r>
    <s v="PRJ-0968"/>
    <s v="Modernização de Financeiro 570"/>
    <x v="163"/>
    <x v="0"/>
    <x v="1"/>
    <x v="255"/>
    <d v="2026-09-06T00:00:00"/>
    <x v="169"/>
    <x v="0"/>
    <n v="72350.02"/>
    <n v="28558.43"/>
    <n v="82078.570000000007"/>
    <n v="2482"/>
    <n v="1067"/>
    <s v="Cascata"/>
    <n v="43791.590000000004"/>
    <s v=""/>
  </r>
  <r>
    <s v="PRJ-0969"/>
    <s v="Automação de Dados 283"/>
    <x v="92"/>
    <x v="9"/>
    <x v="2"/>
    <x v="319"/>
    <d v="2026-07-24T00:00:00"/>
    <x v="7"/>
    <x v="0"/>
    <n v="115258.88"/>
    <n v="30296.68"/>
    <n v="151088.94"/>
    <n v="3292"/>
    <n v="862"/>
    <s v="Ágil"/>
    <n v="84962.200000000012"/>
    <s v=""/>
  </r>
  <r>
    <s v="PRJ-0970"/>
    <s v="Automação de Processos 259"/>
    <x v="3"/>
    <x v="9"/>
    <x v="2"/>
    <x v="194"/>
    <d v="2026-04-05T00:00:00"/>
    <x v="153"/>
    <x v="0"/>
    <n v="150664.43"/>
    <n v="65410.1"/>
    <n v="112827.96"/>
    <n v="4418"/>
    <n v="1905"/>
    <s v="Híbrido"/>
    <n v="85254.329999999987"/>
    <s v=""/>
  </r>
  <r>
    <s v="PRJ-0971"/>
    <s v="Otimização de Segurança 052"/>
    <x v="246"/>
    <x v="8"/>
    <x v="2"/>
    <x v="69"/>
    <d v="2026-03-22T00:00:00"/>
    <x v="16"/>
    <x v="0"/>
    <n v="420567.79"/>
    <n v="87235.81"/>
    <n v="280964.64"/>
    <n v="1256"/>
    <n v="357"/>
    <s v="Cascata"/>
    <n v="333331.98"/>
    <s v=""/>
  </r>
  <r>
    <s v="PRJ-0972"/>
    <s v="Otimização de Financeiro 260"/>
    <x v="194"/>
    <x v="6"/>
    <x v="1"/>
    <x v="191"/>
    <d v="2026-05-16T00:00:00"/>
    <x v="30"/>
    <x v="0"/>
    <n v="56369.11"/>
    <n v="28355.42"/>
    <n v="117314.7"/>
    <n v="3593"/>
    <n v="1988"/>
    <s v="Ágil"/>
    <n v="28013.690000000002"/>
    <s v=""/>
  </r>
  <r>
    <s v="PRJ-0973"/>
    <s v="Modernização de Financeiro 700"/>
    <x v="225"/>
    <x v="9"/>
    <x v="3"/>
    <x v="59"/>
    <d v="2026-11-28T00:00:00"/>
    <x v="301"/>
    <x v="0"/>
    <n v="203803.41"/>
    <n v="11706.36"/>
    <n v="263385.34000000003"/>
    <n v="3662"/>
    <n v="151"/>
    <s v="Híbrido"/>
    <n v="192097.05"/>
    <s v=""/>
  </r>
  <r>
    <s v="PRJ-0974"/>
    <s v="Expansão de Financeiro 167"/>
    <x v="39"/>
    <x v="8"/>
    <x v="0"/>
    <x v="310"/>
    <d v="2026-12-31T00:00:00"/>
    <x v="212"/>
    <x v="3"/>
    <n v="71095.63"/>
    <n v="67839.100000000006"/>
    <n v="137168.42000000001"/>
    <n v="1059"/>
    <n v="871"/>
    <s v="Cascata"/>
    <n v="3256.5299999999988"/>
    <n v="108"/>
  </r>
  <r>
    <s v="PRJ-0975"/>
    <s v="Integração de Financeiro 953"/>
    <x v="96"/>
    <x v="0"/>
    <x v="2"/>
    <x v="256"/>
    <d v="2026-11-06T00:00:00"/>
    <x v="6"/>
    <x v="0"/>
    <n v="322592.90999999997"/>
    <n v="0"/>
    <n v="354349.6"/>
    <n v="8181"/>
    <n v="0"/>
    <s v="Ágil"/>
    <n v="322592.90999999997"/>
    <s v=""/>
  </r>
  <r>
    <s v="PRJ-0976"/>
    <s v="Integração de Operações 427"/>
    <x v="53"/>
    <x v="1"/>
    <x v="3"/>
    <x v="245"/>
    <d v="2026-12-16T00:00:00"/>
    <x v="283"/>
    <x v="0"/>
    <n v="397562.3"/>
    <n v="152570.25"/>
    <n v="150067.53"/>
    <n v="209"/>
    <n v="66"/>
    <s v="Híbrido"/>
    <n v="244992.05"/>
    <s v=""/>
  </r>
  <r>
    <s v="PRJ-0977"/>
    <s v="Automação de Supply 964"/>
    <x v="201"/>
    <x v="8"/>
    <x v="1"/>
    <x v="261"/>
    <d v="2026-11-08T00:00:00"/>
    <x v="299"/>
    <x v="130"/>
    <n v="289913.65000000002"/>
    <n v="296337.28000000003"/>
    <n v="336964.31"/>
    <n v="2380"/>
    <n v="2578"/>
    <s v="Cascata"/>
    <n v="-6423.6300000000047"/>
    <n v="95"/>
  </r>
  <r>
    <s v="PRJ-0978"/>
    <s v="Implantação de Plataforma 674"/>
    <x v="37"/>
    <x v="8"/>
    <x v="1"/>
    <x v="305"/>
    <d v="2026-12-17T00:00:00"/>
    <x v="142"/>
    <x v="0"/>
    <n v="138574.22"/>
    <n v="130439.61"/>
    <n v="132403.15"/>
    <n v="1684"/>
    <n v="1416"/>
    <s v="Ágil"/>
    <n v="8134.6100000000006"/>
    <s v=""/>
  </r>
  <r>
    <s v="PRJ-0979"/>
    <s v="Implantação de Segurança 973"/>
    <x v="203"/>
    <x v="3"/>
    <x v="1"/>
    <x v="33"/>
    <d v="2026-09-08T00:00:00"/>
    <x v="207"/>
    <x v="72"/>
    <n v="199645.85"/>
    <n v="190455.47"/>
    <n v="173927.28"/>
    <n v="945"/>
    <n v="1018"/>
    <s v="Híbrido"/>
    <n v="9190.3800000000047"/>
    <n v="127"/>
  </r>
  <r>
    <s v="PRJ-0980"/>
    <s v="Implantação de RH 339"/>
    <x v="76"/>
    <x v="0"/>
    <x v="0"/>
    <x v="134"/>
    <d v="2026-03-09T00:00:00"/>
    <x v="328"/>
    <x v="0"/>
    <n v="84994.39"/>
    <n v="64659.94"/>
    <n v="28993.24"/>
    <n v="1594"/>
    <n v="885"/>
    <s v="Cascata"/>
    <n v="20334.449999999997"/>
    <s v=""/>
  </r>
  <r>
    <s v="PRJ-0981"/>
    <s v="Expansão de Plataforma 442"/>
    <x v="15"/>
    <x v="1"/>
    <x v="0"/>
    <x v="115"/>
    <d v="2026-09-20T00:00:00"/>
    <x v="72"/>
    <x v="131"/>
    <n v="96160.95"/>
    <n v="88248.3"/>
    <n v="162121.94"/>
    <n v="1929"/>
    <n v="1681"/>
    <s v="Ágil"/>
    <n v="7912.6499999999942"/>
    <n v="99"/>
  </r>
  <r>
    <s v="PRJ-0982"/>
    <s v="Revisão de Supply 590"/>
    <x v="67"/>
    <x v="5"/>
    <x v="1"/>
    <x v="88"/>
    <d v="2026-11-13T00:00:00"/>
    <x v="6"/>
    <x v="0"/>
    <n v="81321.81"/>
    <n v="0"/>
    <n v="108243.61"/>
    <n v="742"/>
    <n v="0"/>
    <s v="Híbrido"/>
    <n v="81321.81"/>
    <s v=""/>
  </r>
  <r>
    <s v="PRJ-0983"/>
    <s v="Implantação de Dados 598"/>
    <x v="178"/>
    <x v="8"/>
    <x v="1"/>
    <x v="181"/>
    <d v="2026-05-28T00:00:00"/>
    <x v="16"/>
    <x v="0"/>
    <n v="87680.71"/>
    <n v="27643.87"/>
    <n v="75635.360000000001"/>
    <n v="563"/>
    <n v="187"/>
    <s v="Cascata"/>
    <n v="60036.840000000011"/>
    <s v=""/>
  </r>
  <r>
    <s v="PRJ-0984"/>
    <s v="Modernização de RH 963"/>
    <x v="80"/>
    <x v="5"/>
    <x v="0"/>
    <x v="124"/>
    <d v="2026-03-30T00:00:00"/>
    <x v="9"/>
    <x v="0"/>
    <n v="506590.89"/>
    <n v="206691.12"/>
    <n v="678414.47"/>
    <n v="2704"/>
    <n v="1074"/>
    <s v="Ágil"/>
    <n v="299899.77"/>
    <s v=""/>
  </r>
  <r>
    <s v="PRJ-0985"/>
    <s v="Padronização de Atendimento 274"/>
    <x v="19"/>
    <x v="5"/>
    <x v="2"/>
    <x v="35"/>
    <d v="2026-12-06T00:00:00"/>
    <x v="136"/>
    <x v="0"/>
    <n v="438102.31"/>
    <n v="239847.47"/>
    <n v="656816.56000000006"/>
    <n v="703"/>
    <n v="491"/>
    <s v="Híbrido"/>
    <n v="198254.84"/>
    <s v=""/>
  </r>
  <r>
    <s v="PRJ-0986"/>
    <s v="Expansão de Financeiro 699"/>
    <x v="219"/>
    <x v="0"/>
    <x v="1"/>
    <x v="318"/>
    <d v="2026-12-31T00:00:00"/>
    <x v="273"/>
    <x v="3"/>
    <n v="123693.14"/>
    <n v="137372.42000000001"/>
    <n v="158535.66"/>
    <n v="249"/>
    <n v="295"/>
    <s v="Cascata"/>
    <n v="-13679.280000000013"/>
    <n v="8"/>
  </r>
  <r>
    <s v="PRJ-0987"/>
    <s v="Otimização de Processos 026"/>
    <x v="193"/>
    <x v="6"/>
    <x v="3"/>
    <x v="328"/>
    <d v="2026-12-26T00:00:00"/>
    <x v="306"/>
    <x v="3"/>
    <n v="150149.10999999999"/>
    <n v="176610.61"/>
    <n v="224044.49"/>
    <n v="1933"/>
    <n v="1951"/>
    <s v="Ágil"/>
    <n v="-26461.5"/>
    <n v="41"/>
  </r>
  <r>
    <s v="PRJ-0988"/>
    <s v="Expansão de Dados 826"/>
    <x v="42"/>
    <x v="5"/>
    <x v="1"/>
    <x v="259"/>
    <d v="2026-10-20T00:00:00"/>
    <x v="326"/>
    <x v="0"/>
    <n v="68067.179999999993"/>
    <n v="21146.89"/>
    <n v="130416.17"/>
    <n v="4830"/>
    <n v="1147"/>
    <s v="Híbrido"/>
    <n v="46920.289999999994"/>
    <s v=""/>
  </r>
  <r>
    <s v="PRJ-0989"/>
    <s v="Padronização de Segurança 353"/>
    <x v="145"/>
    <x v="5"/>
    <x v="1"/>
    <x v="5"/>
    <d v="2026-06-21T00:00:00"/>
    <x v="308"/>
    <x v="0"/>
    <n v="50000"/>
    <n v="38093.519999999997"/>
    <n v="56488.639999999999"/>
    <n v="3794"/>
    <n v="2686"/>
    <s v="Cascata"/>
    <n v="11906.480000000003"/>
    <s v=""/>
  </r>
  <r>
    <s v="PRJ-0990"/>
    <s v="Automação de Processos 295"/>
    <x v="147"/>
    <x v="1"/>
    <x v="0"/>
    <x v="142"/>
    <d v="2026-07-03T00:00:00"/>
    <x v="46"/>
    <x v="0"/>
    <n v="121918.83"/>
    <n v="79786.539999999994"/>
    <n v="83179.11"/>
    <n v="1284"/>
    <n v="909"/>
    <s v="Ágil"/>
    <n v="42132.290000000008"/>
    <s v=""/>
  </r>
  <r>
    <s v="PRJ-0991"/>
    <s v="Padronização de Plataforma 783"/>
    <x v="108"/>
    <x v="6"/>
    <x v="1"/>
    <x v="99"/>
    <d v="2026-02-27T00:00:00"/>
    <x v="173"/>
    <x v="0"/>
    <n v="198326.94"/>
    <n v="130359.54"/>
    <n v="244816.47"/>
    <n v="669"/>
    <n v="404"/>
    <s v="Híbrido"/>
    <n v="67967.400000000009"/>
    <s v=""/>
  </r>
  <r>
    <s v="PRJ-0992"/>
    <s v="Modernização de RH 683"/>
    <x v="81"/>
    <x v="6"/>
    <x v="1"/>
    <x v="195"/>
    <d v="2026-12-09T00:00:00"/>
    <x v="44"/>
    <x v="0"/>
    <n v="82909.460000000006"/>
    <n v="54743.040000000001"/>
    <n v="70549.38"/>
    <n v="3293"/>
    <n v="1715"/>
    <s v="Cascata"/>
    <n v="28166.420000000006"/>
    <s v=""/>
  </r>
  <r>
    <s v="PRJ-0993"/>
    <s v="Modernização de Operações 300"/>
    <x v="89"/>
    <x v="4"/>
    <x v="0"/>
    <x v="86"/>
    <d v="2026-06-15T00:00:00"/>
    <x v="14"/>
    <x v="0"/>
    <n v="101402.61"/>
    <n v="55650.38"/>
    <n v="71940.3"/>
    <n v="2321"/>
    <n v="1022"/>
    <s v="Ágil"/>
    <n v="45752.23"/>
    <s v=""/>
  </r>
  <r>
    <s v="PRJ-0994"/>
    <s v="Otimização de Financeiro 249"/>
    <x v="194"/>
    <x v="2"/>
    <x v="0"/>
    <x v="195"/>
    <d v="2026-10-15T00:00:00"/>
    <x v="151"/>
    <x v="0"/>
    <n v="50000"/>
    <n v="35260.99"/>
    <n v="109919.21"/>
    <n v="2334"/>
    <n v="1751"/>
    <s v="Híbrido"/>
    <n v="14739.010000000002"/>
    <s v=""/>
  </r>
  <r>
    <s v="PRJ-0995"/>
    <s v="Modernização de Dados 332"/>
    <x v="181"/>
    <x v="0"/>
    <x v="3"/>
    <x v="275"/>
    <d v="2026-05-31T00:00:00"/>
    <x v="154"/>
    <x v="0"/>
    <n v="165990.18"/>
    <n v="76220.429999999993"/>
    <n v="276094.78999999998"/>
    <n v="2620"/>
    <n v="937"/>
    <s v="Cascata"/>
    <n v="89769.75"/>
    <s v=""/>
  </r>
  <r>
    <s v="PRJ-0996"/>
    <s v="Otimização de Supply 327"/>
    <x v="200"/>
    <x v="0"/>
    <x v="0"/>
    <x v="50"/>
    <d v="2026-12-31T00:00:00"/>
    <x v="168"/>
    <x v="0"/>
    <n v="78535.199999999997"/>
    <n v="35401.56"/>
    <n v="113978.55"/>
    <n v="478"/>
    <n v="164"/>
    <s v="Ágil"/>
    <n v="43133.64"/>
    <s v=""/>
  </r>
  <r>
    <s v="PRJ-0997"/>
    <s v="Expansão de Operações 217"/>
    <x v="190"/>
    <x v="0"/>
    <x v="2"/>
    <x v="329"/>
    <d v="2026-06-26T00:00:00"/>
    <x v="192"/>
    <x v="0"/>
    <n v="185574.89"/>
    <n v="37092.86"/>
    <n v="72503.03"/>
    <n v="1782"/>
    <n v="353"/>
    <s v="Híbrido"/>
    <n v="148482.03000000003"/>
    <s v=""/>
  </r>
  <r>
    <s v="PRJ-0998"/>
    <s v="Automação de Plataforma 154"/>
    <x v="243"/>
    <x v="7"/>
    <x v="3"/>
    <x v="304"/>
    <d v="2026-02-07T00:00:00"/>
    <x v="12"/>
    <x v="0"/>
    <n v="110590.73"/>
    <n v="64276.31"/>
    <n v="199159.77"/>
    <n v="683"/>
    <n v="422"/>
    <s v="Cascata"/>
    <n v="46314.42"/>
    <s v=""/>
  </r>
  <r>
    <s v="PRJ-0999"/>
    <s v="Expansão de RH 915"/>
    <x v="79"/>
    <x v="6"/>
    <x v="0"/>
    <x v="291"/>
    <d v="2026-12-05T00:00:00"/>
    <x v="319"/>
    <x v="132"/>
    <n v="480944.7"/>
    <n v="530742.27"/>
    <n v="534699.73"/>
    <n v="1347"/>
    <n v="1207"/>
    <s v="Ágil"/>
    <n v="-49797.570000000007"/>
    <n v="81"/>
  </r>
  <r>
    <s v="PRJ-1000"/>
    <s v="Implantação de Segurança 119"/>
    <x v="240"/>
    <x v="0"/>
    <x v="1"/>
    <x v="43"/>
    <d v="2026-09-27T00:00:00"/>
    <x v="300"/>
    <x v="0"/>
    <n v="281575.5"/>
    <n v="271078.15000000002"/>
    <n v="431211.49"/>
    <n v="819"/>
    <n v="697"/>
    <s v="Híbrido"/>
    <n v="10497.349999999977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CEEDF4-0FE5-4199-8383-B319259DD989}" name="Tabela dinâmica14" cacheId="18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3">
  <location ref="R2:S13" firstHeaderRow="1" firstDataRow="1" firstDataCol="1"/>
  <pivotFields count="23">
    <pivotField showAll="0"/>
    <pivotField showAll="0"/>
    <pivotField axis="axisRow" showAll="0" measureFilter="1">
      <items count="248">
        <item x="148"/>
        <item x="101"/>
        <item x="217"/>
        <item x="78"/>
        <item x="28"/>
        <item x="36"/>
        <item x="244"/>
        <item x="206"/>
        <item x="180"/>
        <item x="200"/>
        <item x="54"/>
        <item x="124"/>
        <item x="192"/>
        <item x="53"/>
        <item x="243"/>
        <item x="49"/>
        <item x="84"/>
        <item x="97"/>
        <item x="100"/>
        <item x="47"/>
        <item x="125"/>
        <item x="92"/>
        <item x="171"/>
        <item x="175"/>
        <item x="77"/>
        <item x="35"/>
        <item x="85"/>
        <item x="164"/>
        <item x="91"/>
        <item x="51"/>
        <item x="189"/>
        <item x="224"/>
        <item x="89"/>
        <item x="65"/>
        <item x="66"/>
        <item x="73"/>
        <item x="2"/>
        <item x="246"/>
        <item x="56"/>
        <item x="239"/>
        <item x="182"/>
        <item x="219"/>
        <item x="168"/>
        <item x="179"/>
        <item x="147"/>
        <item x="223"/>
        <item x="75"/>
        <item x="150"/>
        <item x="59"/>
        <item x="107"/>
        <item x="93"/>
        <item x="13"/>
        <item x="136"/>
        <item x="37"/>
        <item x="166"/>
        <item x="235"/>
        <item x="45"/>
        <item x="231"/>
        <item x="8"/>
        <item x="34"/>
        <item x="40"/>
        <item x="163"/>
        <item x="177"/>
        <item x="86"/>
        <item x="209"/>
        <item x="138"/>
        <item x="130"/>
        <item x="240"/>
        <item x="23"/>
        <item x="20"/>
        <item x="82"/>
        <item x="29"/>
        <item x="190"/>
        <item x="5"/>
        <item x="159"/>
        <item x="187"/>
        <item x="80"/>
        <item x="104"/>
        <item x="201"/>
        <item x="63"/>
        <item x="48"/>
        <item x="221"/>
        <item x="117"/>
        <item x="108"/>
        <item x="214"/>
        <item x="61"/>
        <item x="98"/>
        <item x="158"/>
        <item x="245"/>
        <item x="122"/>
        <item x="153"/>
        <item x="220"/>
        <item x="4"/>
        <item x="143"/>
        <item x="68"/>
        <item x="204"/>
        <item x="22"/>
        <item x="234"/>
        <item x="18"/>
        <item x="32"/>
        <item x="191"/>
        <item x="33"/>
        <item x="137"/>
        <item x="173"/>
        <item x="212"/>
        <item x="154"/>
        <item x="174"/>
        <item x="31"/>
        <item x="12"/>
        <item x="141"/>
        <item x="242"/>
        <item x="131"/>
        <item x="74"/>
        <item x="118"/>
        <item x="241"/>
        <item x="213"/>
        <item x="30"/>
        <item x="21"/>
        <item x="222"/>
        <item x="16"/>
        <item x="135"/>
        <item x="52"/>
        <item x="195"/>
        <item x="119"/>
        <item x="3"/>
        <item x="161"/>
        <item x="176"/>
        <item x="208"/>
        <item x="58"/>
        <item x="211"/>
        <item x="229"/>
        <item x="110"/>
        <item x="112"/>
        <item x="44"/>
        <item x="152"/>
        <item x="140"/>
        <item x="203"/>
        <item x="38"/>
        <item x="126"/>
        <item x="42"/>
        <item x="225"/>
        <item x="230"/>
        <item x="216"/>
        <item x="121"/>
        <item x="70"/>
        <item x="156"/>
        <item x="90"/>
        <item x="205"/>
        <item x="116"/>
        <item x="87"/>
        <item x="111"/>
        <item x="188"/>
        <item x="207"/>
        <item x="1"/>
        <item x="7"/>
        <item x="144"/>
        <item x="41"/>
        <item x="55"/>
        <item x="19"/>
        <item x="114"/>
        <item x="227"/>
        <item x="24"/>
        <item x="169"/>
        <item x="43"/>
        <item x="105"/>
        <item x="11"/>
        <item x="202"/>
        <item x="167"/>
        <item x="199"/>
        <item x="69"/>
        <item x="26"/>
        <item x="62"/>
        <item x="129"/>
        <item x="228"/>
        <item x="99"/>
        <item x="81"/>
        <item x="215"/>
        <item x="106"/>
        <item x="151"/>
        <item x="95"/>
        <item x="194"/>
        <item x="120"/>
        <item x="123"/>
        <item x="197"/>
        <item x="25"/>
        <item x="79"/>
        <item x="10"/>
        <item x="233"/>
        <item x="172"/>
        <item x="46"/>
        <item x="83"/>
        <item x="237"/>
        <item x="183"/>
        <item x="50"/>
        <item x="57"/>
        <item x="76"/>
        <item x="9"/>
        <item x="67"/>
        <item x="170"/>
        <item x="103"/>
        <item x="39"/>
        <item x="139"/>
        <item x="14"/>
        <item x="134"/>
        <item x="6"/>
        <item x="198"/>
        <item x="160"/>
        <item x="94"/>
        <item x="238"/>
        <item x="181"/>
        <item x="96"/>
        <item x="162"/>
        <item x="133"/>
        <item x="128"/>
        <item x="236"/>
        <item x="127"/>
        <item x="210"/>
        <item x="132"/>
        <item x="226"/>
        <item x="185"/>
        <item x="17"/>
        <item x="72"/>
        <item x="15"/>
        <item x="113"/>
        <item x="60"/>
        <item x="102"/>
        <item x="145"/>
        <item x="88"/>
        <item x="178"/>
        <item x="109"/>
        <item x="184"/>
        <item x="71"/>
        <item x="155"/>
        <item x="165"/>
        <item x="157"/>
        <item x="218"/>
        <item x="64"/>
        <item x="196"/>
        <item x="0"/>
        <item x="142"/>
        <item x="27"/>
        <item x="149"/>
        <item x="193"/>
        <item x="115"/>
        <item x="146"/>
        <item x="186"/>
        <item x="232"/>
        <item t="default"/>
      </items>
    </pivotField>
    <pivotField showAll="0">
      <items count="11">
        <item x="4"/>
        <item h="1" x="5"/>
        <item h="1" x="1"/>
        <item h="1" x="6"/>
        <item h="1" x="2"/>
        <item h="1" x="7"/>
        <item h="1" x="3"/>
        <item h="1" x="0"/>
        <item h="1" x="8"/>
        <item h="1" x="9"/>
        <item t="default"/>
      </items>
    </pivotField>
    <pivotField showAll="0"/>
    <pivotField numFmtId="14" showAll="0">
      <items count="331">
        <item x="194"/>
        <item x="41"/>
        <item x="235"/>
        <item x="154"/>
        <item x="144"/>
        <item x="189"/>
        <item x="268"/>
        <item x="300"/>
        <item x="203"/>
        <item x="304"/>
        <item x="135"/>
        <item x="314"/>
        <item x="302"/>
        <item x="102"/>
        <item x="134"/>
        <item x="243"/>
        <item x="73"/>
        <item x="99"/>
        <item x="260"/>
        <item x="244"/>
        <item x="206"/>
        <item x="252"/>
        <item x="96"/>
        <item x="81"/>
        <item x="249"/>
        <item x="57"/>
        <item x="10"/>
        <item x="124"/>
        <item x="176"/>
        <item x="84"/>
        <item x="277"/>
        <item x="190"/>
        <item x="13"/>
        <item x="162"/>
        <item x="155"/>
        <item x="273"/>
        <item x="127"/>
        <item x="270"/>
        <item x="272"/>
        <item x="95"/>
        <item x="72"/>
        <item x="269"/>
        <item x="30"/>
        <item x="280"/>
        <item x="224"/>
        <item x="179"/>
        <item x="287"/>
        <item x="192"/>
        <item x="11"/>
        <item x="44"/>
        <item x="191"/>
        <item x="275"/>
        <item x="177"/>
        <item x="289"/>
        <item x="69"/>
        <item x="17"/>
        <item x="105"/>
        <item x="93"/>
        <item x="218"/>
        <item x="168"/>
        <item x="276"/>
        <item x="78"/>
        <item x="169"/>
        <item x="51"/>
        <item x="113"/>
        <item x="237"/>
        <item x="181"/>
        <item x="117"/>
        <item x="196"/>
        <item x="56"/>
        <item x="86"/>
        <item x="214"/>
        <item x="229"/>
        <item x="114"/>
        <item x="5"/>
        <item x="18"/>
        <item x="15"/>
        <item x="234"/>
        <item x="174"/>
        <item x="213"/>
        <item x="306"/>
        <item x="145"/>
        <item x="142"/>
        <item x="248"/>
        <item x="326"/>
        <item x="48"/>
        <item x="246"/>
        <item x="312"/>
        <item x="186"/>
        <item x="284"/>
        <item x="157"/>
        <item x="316"/>
        <item x="217"/>
        <item x="293"/>
        <item x="2"/>
        <item x="140"/>
        <item x="303"/>
        <item x="288"/>
        <item x="131"/>
        <item x="257"/>
        <item x="128"/>
        <item x="161"/>
        <item x="4"/>
        <item x="285"/>
        <item x="319"/>
        <item x="94"/>
        <item x="271"/>
        <item x="148"/>
        <item x="55"/>
        <item x="87"/>
        <item x="183"/>
        <item x="208"/>
        <item x="160"/>
        <item x="220"/>
        <item x="91"/>
        <item x="282"/>
        <item x="7"/>
        <item x="253"/>
        <item x="204"/>
        <item x="23"/>
        <item x="251"/>
        <item x="24"/>
        <item x="241"/>
        <item x="307"/>
        <item x="153"/>
        <item x="6"/>
        <item x="20"/>
        <item x="101"/>
        <item x="329"/>
        <item x="216"/>
        <item x="228"/>
        <item x="184"/>
        <item x="31"/>
        <item x="118"/>
        <item x="33"/>
        <item x="34"/>
        <item x="116"/>
        <item x="40"/>
        <item x="159"/>
        <item x="296"/>
        <item x="211"/>
        <item x="254"/>
        <item x="133"/>
        <item x="178"/>
        <item x="239"/>
        <item x="298"/>
        <item x="120"/>
        <item x="125"/>
        <item x="29"/>
        <item x="21"/>
        <item x="171"/>
        <item x="274"/>
        <item x="79"/>
        <item x="325"/>
        <item x="286"/>
        <item x="262"/>
        <item x="90"/>
        <item x="64"/>
        <item x="9"/>
        <item x="255"/>
        <item x="240"/>
        <item x="264"/>
        <item x="43"/>
        <item x="1"/>
        <item x="16"/>
        <item x="123"/>
        <item x="75"/>
        <item x="297"/>
        <item x="19"/>
        <item x="47"/>
        <item x="195"/>
        <item x="215"/>
        <item x="107"/>
        <item x="115"/>
        <item x="165"/>
        <item x="103"/>
        <item x="299"/>
        <item x="219"/>
        <item x="198"/>
        <item x="54"/>
        <item x="106"/>
        <item x="238"/>
        <item x="250"/>
        <item x="308"/>
        <item x="42"/>
        <item x="46"/>
        <item x="146"/>
        <item x="202"/>
        <item x="247"/>
        <item x="119"/>
        <item x="14"/>
        <item x="278"/>
        <item x="205"/>
        <item x="147"/>
        <item x="256"/>
        <item x="26"/>
        <item x="223"/>
        <item x="236"/>
        <item x="173"/>
        <item x="67"/>
        <item x="180"/>
        <item x="327"/>
        <item x="12"/>
        <item x="259"/>
        <item x="200"/>
        <item x="27"/>
        <item x="53"/>
        <item x="290"/>
        <item x="261"/>
        <item x="279"/>
        <item x="233"/>
        <item x="38"/>
        <item x="122"/>
        <item x="68"/>
        <item x="324"/>
        <item x="121"/>
        <item x="39"/>
        <item x="209"/>
        <item x="59"/>
        <item x="321"/>
        <item x="210"/>
        <item x="129"/>
        <item x="227"/>
        <item x="295"/>
        <item x="166"/>
        <item x="71"/>
        <item x="130"/>
        <item x="323"/>
        <item x="320"/>
        <item x="311"/>
        <item x="263"/>
        <item x="100"/>
        <item x="49"/>
        <item x="152"/>
        <item x="305"/>
        <item x="221"/>
        <item x="45"/>
        <item x="315"/>
        <item x="37"/>
        <item x="156"/>
        <item x="63"/>
        <item x="167"/>
        <item x="242"/>
        <item x="143"/>
        <item x="149"/>
        <item x="151"/>
        <item x="185"/>
        <item x="136"/>
        <item x="172"/>
        <item x="70"/>
        <item x="281"/>
        <item x="310"/>
        <item x="291"/>
        <item x="267"/>
        <item x="212"/>
        <item x="66"/>
        <item x="294"/>
        <item x="0"/>
        <item x="187"/>
        <item x="92"/>
        <item x="150"/>
        <item x="32"/>
        <item x="322"/>
        <item x="35"/>
        <item x="74"/>
        <item x="82"/>
        <item x="313"/>
        <item x="201"/>
        <item x="109"/>
        <item x="138"/>
        <item x="88"/>
        <item x="164"/>
        <item x="317"/>
        <item x="22"/>
        <item x="226"/>
        <item x="80"/>
        <item x="230"/>
        <item x="77"/>
        <item x="301"/>
        <item x="52"/>
        <item x="258"/>
        <item x="265"/>
        <item x="292"/>
        <item x="232"/>
        <item x="97"/>
        <item x="266"/>
        <item x="3"/>
        <item x="85"/>
        <item x="76"/>
        <item x="62"/>
        <item x="193"/>
        <item x="207"/>
        <item x="83"/>
        <item x="197"/>
        <item x="112"/>
        <item x="61"/>
        <item x="328"/>
        <item x="283"/>
        <item x="141"/>
        <item x="222"/>
        <item x="25"/>
        <item x="104"/>
        <item x="89"/>
        <item x="65"/>
        <item x="60"/>
        <item x="28"/>
        <item x="137"/>
        <item x="108"/>
        <item x="245"/>
        <item x="175"/>
        <item x="163"/>
        <item x="36"/>
        <item x="50"/>
        <item x="111"/>
        <item x="58"/>
        <item x="182"/>
        <item x="158"/>
        <item x="188"/>
        <item x="231"/>
        <item x="110"/>
        <item x="199"/>
        <item x="139"/>
        <item x="309"/>
        <item x="170"/>
        <item x="126"/>
        <item x="8"/>
        <item x="318"/>
        <item x="132"/>
        <item x="98"/>
        <item x="225"/>
        <item t="default"/>
      </items>
    </pivotField>
    <pivotField numFmtId="14" showAll="0"/>
    <pivotField showAll="0">
      <items count="330">
        <item x="153"/>
        <item x="309"/>
        <item x="188"/>
        <item x="231"/>
        <item x="239"/>
        <item x="218"/>
        <item x="70"/>
        <item x="132"/>
        <item x="83"/>
        <item x="267"/>
        <item x="122"/>
        <item x="40"/>
        <item x="141"/>
        <item x="107"/>
        <item x="328"/>
        <item x="9"/>
        <item x="80"/>
        <item x="94"/>
        <item x="63"/>
        <item x="148"/>
        <item x="55"/>
        <item x="294"/>
        <item x="250"/>
        <item x="234"/>
        <item x="125"/>
        <item x="263"/>
        <item x="282"/>
        <item x="173"/>
        <item x="175"/>
        <item x="214"/>
        <item x="68"/>
        <item x="311"/>
        <item x="279"/>
        <item x="190"/>
        <item x="12"/>
        <item x="293"/>
        <item x="193"/>
        <item x="91"/>
        <item x="266"/>
        <item x="42"/>
        <item x="98"/>
        <item x="110"/>
        <item x="154"/>
        <item x="215"/>
        <item x="316"/>
        <item x="177"/>
        <item x="235"/>
        <item x="104"/>
        <item x="260"/>
        <item x="10"/>
        <item x="16"/>
        <item x="30"/>
        <item x="74"/>
        <item x="224"/>
        <item x="89"/>
        <item x="226"/>
        <item x="17"/>
        <item x="166"/>
        <item x="34"/>
        <item x="296"/>
        <item x="264"/>
        <item x="312"/>
        <item x="205"/>
        <item x="65"/>
        <item x="198"/>
        <item x="115"/>
        <item x="5"/>
        <item x="51"/>
        <item x="180"/>
        <item x="257"/>
        <item x="228"/>
        <item x="308"/>
        <item x="274"/>
        <item x="203"/>
        <item x="275"/>
        <item x="111"/>
        <item x="14"/>
        <item x="155"/>
        <item x="217"/>
        <item x="174"/>
        <item x="238"/>
        <item x="241"/>
        <item x="46"/>
        <item x="39"/>
        <item x="237"/>
        <item x="201"/>
        <item x="255"/>
        <item x="129"/>
        <item x="135"/>
        <item x="171"/>
        <item x="243"/>
        <item x="251"/>
        <item x="156"/>
        <item x="270"/>
        <item x="138"/>
        <item x="4"/>
        <item x="194"/>
        <item x="161"/>
        <item x="317"/>
        <item x="84"/>
        <item x="2"/>
        <item x="240"/>
        <item x="139"/>
        <item x="271"/>
        <item x="87"/>
        <item x="320"/>
        <item x="77"/>
        <item x="210"/>
        <item x="295"/>
        <item x="164"/>
        <item x="284"/>
        <item x="117"/>
        <item x="233"/>
        <item x="152"/>
        <item x="54"/>
        <item x="7"/>
        <item x="200"/>
        <item x="183"/>
        <item x="159"/>
        <item x="223"/>
        <item x="207"/>
        <item x="47"/>
        <item x="247"/>
        <item x="18"/>
        <item x="140"/>
        <item x="21"/>
        <item x="304"/>
        <item x="22"/>
        <item x="272"/>
        <item x="289"/>
        <item x="32"/>
        <item x="222"/>
        <item x="220"/>
        <item x="62"/>
        <item x="321"/>
        <item x="302"/>
        <item x="176"/>
        <item x="258"/>
        <item x="192"/>
        <item x="76"/>
        <item x="206"/>
        <item x="158"/>
        <item x="229"/>
        <item x="252"/>
        <item x="19"/>
        <item x="86"/>
        <item x="191"/>
        <item x="265"/>
        <item x="28"/>
        <item x="315"/>
        <item x="288"/>
        <item x="118"/>
        <item x="131"/>
        <item x="45"/>
        <item x="169"/>
        <item x="208"/>
        <item x="292"/>
        <item x="145"/>
        <item x="29"/>
        <item x="325"/>
        <item x="253"/>
        <item x="72"/>
        <item x="106"/>
        <item x="300"/>
        <item x="313"/>
        <item x="276"/>
        <item x="99"/>
        <item x="324"/>
        <item x="61"/>
        <item x="170"/>
        <item x="1"/>
        <item x="121"/>
        <item x="305"/>
        <item x="163"/>
        <item x="151"/>
        <item x="15"/>
        <item x="116"/>
        <item x="41"/>
        <item x="100"/>
        <item x="123"/>
        <item x="44"/>
        <item x="143"/>
        <item x="246"/>
        <item x="287"/>
        <item x="144"/>
        <item x="13"/>
        <item x="254"/>
        <item x="113"/>
        <item x="197"/>
        <item x="179"/>
        <item x="326"/>
        <item x="280"/>
        <item x="105"/>
        <item x="101"/>
        <item x="261"/>
        <item x="213"/>
        <item x="269"/>
        <item x="249"/>
        <item x="307"/>
        <item x="182"/>
        <item x="24"/>
        <item x="178"/>
        <item x="11"/>
        <item x="119"/>
        <item x="327"/>
        <item x="299"/>
        <item x="38"/>
        <item x="53"/>
        <item x="58"/>
        <item x="90"/>
        <item x="37"/>
        <item x="303"/>
        <item x="64"/>
        <item x="49"/>
        <item x="221"/>
        <item x="225"/>
        <item x="26"/>
        <item x="127"/>
        <item x="189"/>
        <item x="301"/>
        <item x="262"/>
        <item x="209"/>
        <item x="95"/>
        <item x="242"/>
        <item x="67"/>
        <item x="314"/>
        <item x="150"/>
        <item x="248"/>
        <item x="277"/>
        <item x="36"/>
        <item x="212"/>
        <item x="204"/>
        <item x="142"/>
        <item x="103"/>
        <item x="160"/>
        <item x="75"/>
        <item x="126"/>
        <item x="319"/>
        <item x="128"/>
        <item x="137"/>
        <item x="43"/>
        <item x="219"/>
        <item x="298"/>
        <item x="66"/>
        <item x="133"/>
        <item x="172"/>
        <item x="186"/>
        <item x="25"/>
        <item x="147"/>
        <item x="93"/>
        <item x="79"/>
        <item x="290"/>
        <item x="310"/>
        <item x="0"/>
        <item x="88"/>
        <item x="33"/>
        <item x="256"/>
        <item x="57"/>
        <item x="259"/>
        <item x="297"/>
        <item x="322"/>
        <item x="31"/>
        <item x="81"/>
        <item x="196"/>
        <item x="278"/>
        <item x="146"/>
        <item x="71"/>
        <item x="20"/>
        <item x="134"/>
        <item x="85"/>
        <item x="3"/>
        <item x="112"/>
        <item x="78"/>
        <item x="281"/>
        <item x="52"/>
        <item x="230"/>
        <item x="291"/>
        <item x="184"/>
        <item x="102"/>
        <item x="136"/>
        <item x="162"/>
        <item x="157"/>
        <item x="187"/>
        <item x="149"/>
        <item x="97"/>
        <item x="244"/>
        <item x="199"/>
        <item x="120"/>
        <item x="82"/>
        <item x="35"/>
        <item x="96"/>
        <item x="59"/>
        <item x="227"/>
        <item x="232"/>
        <item x="306"/>
        <item x="50"/>
        <item x="60"/>
        <item x="165"/>
        <item x="202"/>
        <item x="167"/>
        <item x="73"/>
        <item x="285"/>
        <item x="108"/>
        <item x="211"/>
        <item x="48"/>
        <item x="114"/>
        <item x="69"/>
        <item x="23"/>
        <item x="56"/>
        <item x="283"/>
        <item x="109"/>
        <item x="236"/>
        <item x="323"/>
        <item x="318"/>
        <item x="168"/>
        <item x="268"/>
        <item x="195"/>
        <item x="185"/>
        <item x="130"/>
        <item x="286"/>
        <item x="124"/>
        <item x="216"/>
        <item x="27"/>
        <item x="8"/>
        <item x="273"/>
        <item x="245"/>
        <item x="181"/>
        <item x="92"/>
        <item x="6"/>
        <item t="default"/>
      </items>
    </pivotField>
    <pivotField showAll="0">
      <items count="134">
        <item x="79"/>
        <item x="121"/>
        <item x="116"/>
        <item x="123"/>
        <item x="86"/>
        <item x="126"/>
        <item x="114"/>
        <item x="57"/>
        <item x="50"/>
        <item x="83"/>
        <item x="13"/>
        <item x="122"/>
        <item x="37"/>
        <item x="18"/>
        <item x="23"/>
        <item x="87"/>
        <item x="6"/>
        <item x="105"/>
        <item x="70"/>
        <item x="45"/>
        <item x="73"/>
        <item x="16"/>
        <item x="38"/>
        <item x="52"/>
        <item x="93"/>
        <item x="40"/>
        <item x="101"/>
        <item x="53"/>
        <item x="7"/>
        <item x="64"/>
        <item x="74"/>
        <item x="112"/>
        <item x="48"/>
        <item x="113"/>
        <item x="106"/>
        <item x="124"/>
        <item x="97"/>
        <item x="24"/>
        <item x="42"/>
        <item x="68"/>
        <item x="84"/>
        <item x="58"/>
        <item x="67"/>
        <item x="22"/>
        <item x="104"/>
        <item x="39"/>
        <item x="17"/>
        <item x="26"/>
        <item x="81"/>
        <item x="75"/>
        <item x="89"/>
        <item x="120"/>
        <item x="60"/>
        <item x="85"/>
        <item x="82"/>
        <item x="36"/>
        <item x="128"/>
        <item x="28"/>
        <item x="4"/>
        <item x="54"/>
        <item x="108"/>
        <item x="90"/>
        <item x="98"/>
        <item x="8"/>
        <item x="25"/>
        <item x="47"/>
        <item x="31"/>
        <item x="110"/>
        <item x="20"/>
        <item x="33"/>
        <item x="1"/>
        <item x="107"/>
        <item x="78"/>
        <item x="118"/>
        <item x="61"/>
        <item x="49"/>
        <item x="94"/>
        <item x="65"/>
        <item x="43"/>
        <item x="5"/>
        <item x="30"/>
        <item x="99"/>
        <item x="62"/>
        <item x="77"/>
        <item x="80"/>
        <item x="100"/>
        <item x="95"/>
        <item x="91"/>
        <item x="72"/>
        <item x="34"/>
        <item x="119"/>
        <item x="14"/>
        <item x="131"/>
        <item x="96"/>
        <item x="32"/>
        <item x="15"/>
        <item x="27"/>
        <item x="127"/>
        <item x="21"/>
        <item x="92"/>
        <item x="46"/>
        <item x="9"/>
        <item x="63"/>
        <item x="103"/>
        <item x="51"/>
        <item x="55"/>
        <item x="125"/>
        <item x="111"/>
        <item x="41"/>
        <item x="29"/>
        <item x="130"/>
        <item x="19"/>
        <item x="129"/>
        <item x="11"/>
        <item x="35"/>
        <item x="56"/>
        <item x="12"/>
        <item x="59"/>
        <item x="69"/>
        <item x="66"/>
        <item x="109"/>
        <item x="132"/>
        <item x="115"/>
        <item x="76"/>
        <item x="117"/>
        <item x="71"/>
        <item x="10"/>
        <item x="44"/>
        <item x="102"/>
        <item x="2"/>
        <item x="88"/>
        <item x="3"/>
        <item x="0"/>
        <item t="default"/>
      </items>
    </pivotField>
    <pivotField numFmtId="165" showAll="0"/>
    <pivotField numFmtId="165" showAll="0"/>
    <pivotField numFmtId="165" showAll="0"/>
    <pivotField showAll="0"/>
    <pivotField showAll="0"/>
    <pivotField showAll="0"/>
    <pivotField numFmtId="165" showAll="0"/>
    <pivotField dataField="1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2"/>
  </rowFields>
  <rowItems count="11">
    <i>
      <x v="1"/>
    </i>
    <i>
      <x v="5"/>
    </i>
    <i>
      <x v="11"/>
    </i>
    <i>
      <x v="27"/>
    </i>
    <i>
      <x v="116"/>
    </i>
    <i>
      <x v="158"/>
    </i>
    <i>
      <x v="162"/>
    </i>
    <i>
      <x v="172"/>
    </i>
    <i>
      <x v="189"/>
    </i>
    <i>
      <x v="198"/>
    </i>
    <i t="grand">
      <x/>
    </i>
  </rowItems>
  <colItems count="1">
    <i/>
  </colItems>
  <dataFields count="1">
    <dataField name="Média de Prazo" fld="16" subtotal="average" baseField="2" baseItem="0" numFmtId="1"/>
  </dataFields>
  <chartFormats count="6">
    <chartFormat chart="2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9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count" evalOrder="-1" id="1" iMeasureFld="0">
      <autoFilter ref="A1">
        <filterColumn colId="0">
          <top10 top="0"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089279-8A07-4257-AE35-309664A222A3}" name="Tabela dinâmica13" cacheId="18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5">
  <location ref="O2:P13" firstHeaderRow="1" firstDataRow="1" firstDataCol="1"/>
  <pivotFields count="23">
    <pivotField showAll="0"/>
    <pivotField showAll="0"/>
    <pivotField axis="axisRow" showAll="0" measureFilter="1" sortType="descending">
      <items count="248">
        <item x="148"/>
        <item x="101"/>
        <item x="217"/>
        <item x="78"/>
        <item x="28"/>
        <item x="36"/>
        <item x="244"/>
        <item x="206"/>
        <item x="180"/>
        <item x="200"/>
        <item x="54"/>
        <item x="124"/>
        <item x="192"/>
        <item x="53"/>
        <item x="243"/>
        <item x="49"/>
        <item x="84"/>
        <item x="97"/>
        <item x="100"/>
        <item x="47"/>
        <item x="125"/>
        <item x="92"/>
        <item x="171"/>
        <item x="175"/>
        <item x="77"/>
        <item x="35"/>
        <item x="85"/>
        <item x="164"/>
        <item x="91"/>
        <item x="51"/>
        <item x="189"/>
        <item x="224"/>
        <item x="89"/>
        <item x="65"/>
        <item x="66"/>
        <item x="73"/>
        <item x="2"/>
        <item x="246"/>
        <item x="56"/>
        <item x="239"/>
        <item x="182"/>
        <item x="219"/>
        <item x="168"/>
        <item x="179"/>
        <item x="147"/>
        <item x="223"/>
        <item x="75"/>
        <item x="150"/>
        <item x="59"/>
        <item x="107"/>
        <item x="93"/>
        <item x="13"/>
        <item x="136"/>
        <item x="37"/>
        <item x="166"/>
        <item x="235"/>
        <item x="45"/>
        <item x="231"/>
        <item x="8"/>
        <item x="34"/>
        <item x="40"/>
        <item x="163"/>
        <item x="177"/>
        <item x="86"/>
        <item x="209"/>
        <item x="138"/>
        <item x="130"/>
        <item x="240"/>
        <item x="23"/>
        <item x="20"/>
        <item x="82"/>
        <item x="29"/>
        <item x="190"/>
        <item x="5"/>
        <item x="159"/>
        <item x="187"/>
        <item x="80"/>
        <item x="104"/>
        <item x="201"/>
        <item x="63"/>
        <item x="48"/>
        <item x="221"/>
        <item x="117"/>
        <item x="108"/>
        <item x="214"/>
        <item x="61"/>
        <item x="98"/>
        <item x="158"/>
        <item x="245"/>
        <item x="122"/>
        <item x="153"/>
        <item x="220"/>
        <item x="4"/>
        <item x="143"/>
        <item x="68"/>
        <item x="204"/>
        <item x="22"/>
        <item x="234"/>
        <item x="18"/>
        <item x="32"/>
        <item x="191"/>
        <item x="33"/>
        <item x="137"/>
        <item x="173"/>
        <item x="212"/>
        <item x="154"/>
        <item x="174"/>
        <item x="31"/>
        <item x="12"/>
        <item x="141"/>
        <item x="242"/>
        <item x="131"/>
        <item x="74"/>
        <item x="118"/>
        <item x="241"/>
        <item x="213"/>
        <item x="30"/>
        <item x="21"/>
        <item x="222"/>
        <item x="16"/>
        <item x="135"/>
        <item x="52"/>
        <item x="195"/>
        <item x="119"/>
        <item x="3"/>
        <item x="161"/>
        <item x="176"/>
        <item x="208"/>
        <item x="58"/>
        <item x="211"/>
        <item x="229"/>
        <item x="110"/>
        <item x="112"/>
        <item x="44"/>
        <item x="152"/>
        <item x="140"/>
        <item x="203"/>
        <item x="38"/>
        <item x="126"/>
        <item x="42"/>
        <item x="225"/>
        <item x="230"/>
        <item x="216"/>
        <item x="121"/>
        <item x="70"/>
        <item x="156"/>
        <item x="90"/>
        <item x="205"/>
        <item x="116"/>
        <item x="87"/>
        <item x="111"/>
        <item x="188"/>
        <item x="207"/>
        <item x="1"/>
        <item x="7"/>
        <item x="144"/>
        <item x="41"/>
        <item x="55"/>
        <item x="19"/>
        <item x="114"/>
        <item x="227"/>
        <item x="24"/>
        <item x="169"/>
        <item x="43"/>
        <item x="105"/>
        <item x="11"/>
        <item x="202"/>
        <item x="167"/>
        <item x="199"/>
        <item x="69"/>
        <item x="26"/>
        <item x="62"/>
        <item x="129"/>
        <item x="228"/>
        <item x="99"/>
        <item x="81"/>
        <item x="215"/>
        <item x="106"/>
        <item x="151"/>
        <item x="95"/>
        <item x="194"/>
        <item x="120"/>
        <item x="123"/>
        <item x="197"/>
        <item x="25"/>
        <item x="79"/>
        <item x="10"/>
        <item x="233"/>
        <item x="172"/>
        <item x="46"/>
        <item x="83"/>
        <item x="237"/>
        <item x="183"/>
        <item x="50"/>
        <item x="57"/>
        <item x="76"/>
        <item x="9"/>
        <item x="67"/>
        <item x="170"/>
        <item x="103"/>
        <item x="39"/>
        <item x="139"/>
        <item x="14"/>
        <item x="134"/>
        <item x="6"/>
        <item x="198"/>
        <item x="160"/>
        <item x="94"/>
        <item x="238"/>
        <item x="181"/>
        <item x="96"/>
        <item x="162"/>
        <item x="133"/>
        <item x="128"/>
        <item x="236"/>
        <item x="127"/>
        <item x="210"/>
        <item x="132"/>
        <item x="226"/>
        <item x="185"/>
        <item x="17"/>
        <item x="72"/>
        <item x="15"/>
        <item x="113"/>
        <item x="60"/>
        <item x="102"/>
        <item x="145"/>
        <item x="88"/>
        <item x="178"/>
        <item x="109"/>
        <item x="184"/>
        <item x="71"/>
        <item x="155"/>
        <item x="165"/>
        <item x="157"/>
        <item x="218"/>
        <item x="64"/>
        <item x="196"/>
        <item x="0"/>
        <item x="142"/>
        <item x="27"/>
        <item x="149"/>
        <item x="193"/>
        <item x="115"/>
        <item x="146"/>
        <item x="186"/>
        <item x="23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11">
        <item x="4"/>
        <item h="1" x="5"/>
        <item h="1" x="1"/>
        <item h="1" x="6"/>
        <item h="1" x="2"/>
        <item h="1" x="7"/>
        <item h="1" x="3"/>
        <item h="1" x="0"/>
        <item h="1" x="8"/>
        <item h="1" x="9"/>
        <item t="default"/>
      </items>
    </pivotField>
    <pivotField showAll="0"/>
    <pivotField numFmtId="14" showAll="0">
      <items count="331">
        <item x="194"/>
        <item x="41"/>
        <item x="235"/>
        <item x="154"/>
        <item x="144"/>
        <item x="189"/>
        <item x="268"/>
        <item x="300"/>
        <item x="203"/>
        <item x="304"/>
        <item x="135"/>
        <item x="314"/>
        <item x="302"/>
        <item x="102"/>
        <item x="134"/>
        <item x="243"/>
        <item x="73"/>
        <item x="99"/>
        <item x="260"/>
        <item x="244"/>
        <item x="206"/>
        <item x="252"/>
        <item x="96"/>
        <item x="81"/>
        <item x="249"/>
        <item x="57"/>
        <item x="10"/>
        <item x="124"/>
        <item x="176"/>
        <item x="84"/>
        <item x="277"/>
        <item x="190"/>
        <item x="13"/>
        <item x="162"/>
        <item x="155"/>
        <item x="273"/>
        <item x="127"/>
        <item x="270"/>
        <item x="272"/>
        <item x="95"/>
        <item x="72"/>
        <item x="269"/>
        <item x="30"/>
        <item x="280"/>
        <item x="224"/>
        <item x="179"/>
        <item x="287"/>
        <item x="192"/>
        <item x="11"/>
        <item x="44"/>
        <item x="191"/>
        <item x="275"/>
        <item x="177"/>
        <item x="289"/>
        <item x="69"/>
        <item x="17"/>
        <item x="105"/>
        <item x="93"/>
        <item x="218"/>
        <item x="168"/>
        <item x="276"/>
        <item x="78"/>
        <item x="169"/>
        <item x="51"/>
        <item x="113"/>
        <item x="237"/>
        <item x="181"/>
        <item x="117"/>
        <item x="196"/>
        <item x="56"/>
        <item x="86"/>
        <item x="214"/>
        <item x="229"/>
        <item x="114"/>
        <item x="5"/>
        <item x="18"/>
        <item x="15"/>
        <item x="234"/>
        <item x="174"/>
        <item x="213"/>
        <item x="306"/>
        <item x="145"/>
        <item x="142"/>
        <item x="248"/>
        <item x="326"/>
        <item x="48"/>
        <item x="246"/>
        <item x="312"/>
        <item x="186"/>
        <item x="284"/>
        <item x="157"/>
        <item x="316"/>
        <item x="217"/>
        <item x="293"/>
        <item x="2"/>
        <item x="140"/>
        <item x="303"/>
        <item x="288"/>
        <item x="131"/>
        <item x="257"/>
        <item x="128"/>
        <item x="161"/>
        <item x="4"/>
        <item x="285"/>
        <item x="319"/>
        <item x="94"/>
        <item x="271"/>
        <item x="148"/>
        <item x="55"/>
        <item x="87"/>
        <item x="183"/>
        <item x="208"/>
        <item x="160"/>
        <item x="220"/>
        <item x="91"/>
        <item x="282"/>
        <item x="7"/>
        <item x="253"/>
        <item x="204"/>
        <item x="23"/>
        <item x="251"/>
        <item x="24"/>
        <item x="241"/>
        <item x="307"/>
        <item x="153"/>
        <item x="6"/>
        <item x="20"/>
        <item x="101"/>
        <item x="329"/>
        <item x="216"/>
        <item x="228"/>
        <item x="184"/>
        <item x="31"/>
        <item x="118"/>
        <item x="33"/>
        <item x="34"/>
        <item x="116"/>
        <item x="40"/>
        <item x="159"/>
        <item x="296"/>
        <item x="211"/>
        <item x="254"/>
        <item x="133"/>
        <item x="178"/>
        <item x="239"/>
        <item x="298"/>
        <item x="120"/>
        <item x="125"/>
        <item x="29"/>
        <item x="21"/>
        <item x="171"/>
        <item x="274"/>
        <item x="79"/>
        <item x="325"/>
        <item x="286"/>
        <item x="262"/>
        <item x="90"/>
        <item x="64"/>
        <item x="9"/>
        <item x="255"/>
        <item x="240"/>
        <item x="264"/>
        <item x="43"/>
        <item x="1"/>
        <item x="16"/>
        <item x="123"/>
        <item x="75"/>
        <item x="297"/>
        <item x="19"/>
        <item x="47"/>
        <item x="195"/>
        <item x="215"/>
        <item x="107"/>
        <item x="115"/>
        <item x="165"/>
        <item x="103"/>
        <item x="299"/>
        <item x="219"/>
        <item x="198"/>
        <item x="54"/>
        <item x="106"/>
        <item x="238"/>
        <item x="250"/>
        <item x="308"/>
        <item x="42"/>
        <item x="46"/>
        <item x="146"/>
        <item x="202"/>
        <item x="247"/>
        <item x="119"/>
        <item x="14"/>
        <item x="278"/>
        <item x="205"/>
        <item x="147"/>
        <item x="256"/>
        <item x="26"/>
        <item x="223"/>
        <item x="236"/>
        <item x="173"/>
        <item x="67"/>
        <item x="180"/>
        <item x="327"/>
        <item x="12"/>
        <item x="259"/>
        <item x="200"/>
        <item x="27"/>
        <item x="53"/>
        <item x="290"/>
        <item x="261"/>
        <item x="279"/>
        <item x="233"/>
        <item x="38"/>
        <item x="122"/>
        <item x="68"/>
        <item x="324"/>
        <item x="121"/>
        <item x="39"/>
        <item x="209"/>
        <item x="59"/>
        <item x="321"/>
        <item x="210"/>
        <item x="129"/>
        <item x="227"/>
        <item x="295"/>
        <item x="166"/>
        <item x="71"/>
        <item x="130"/>
        <item x="323"/>
        <item x="320"/>
        <item x="311"/>
        <item x="263"/>
        <item x="100"/>
        <item x="49"/>
        <item x="152"/>
        <item x="305"/>
        <item x="221"/>
        <item x="45"/>
        <item x="315"/>
        <item x="37"/>
        <item x="156"/>
        <item x="63"/>
        <item x="167"/>
        <item x="242"/>
        <item x="143"/>
        <item x="149"/>
        <item x="151"/>
        <item x="185"/>
        <item x="136"/>
        <item x="172"/>
        <item x="70"/>
        <item x="281"/>
        <item x="310"/>
        <item x="291"/>
        <item x="267"/>
        <item x="212"/>
        <item x="66"/>
        <item x="294"/>
        <item x="0"/>
        <item x="187"/>
        <item x="92"/>
        <item x="150"/>
        <item x="32"/>
        <item x="322"/>
        <item x="35"/>
        <item x="74"/>
        <item x="82"/>
        <item x="313"/>
        <item x="201"/>
        <item x="109"/>
        <item x="138"/>
        <item x="88"/>
        <item x="164"/>
        <item x="317"/>
        <item x="22"/>
        <item x="226"/>
        <item x="80"/>
        <item x="230"/>
        <item x="77"/>
        <item x="301"/>
        <item x="52"/>
        <item x="258"/>
        <item x="265"/>
        <item x="292"/>
        <item x="232"/>
        <item x="97"/>
        <item x="266"/>
        <item x="3"/>
        <item x="85"/>
        <item x="76"/>
        <item x="62"/>
        <item x="193"/>
        <item x="207"/>
        <item x="83"/>
        <item x="197"/>
        <item x="112"/>
        <item x="61"/>
        <item x="328"/>
        <item x="283"/>
        <item x="141"/>
        <item x="222"/>
        <item x="25"/>
        <item x="104"/>
        <item x="89"/>
        <item x="65"/>
        <item x="60"/>
        <item x="28"/>
        <item x="137"/>
        <item x="108"/>
        <item x="245"/>
        <item x="175"/>
        <item x="163"/>
        <item x="36"/>
        <item x="50"/>
        <item x="111"/>
        <item x="58"/>
        <item x="182"/>
        <item x="158"/>
        <item x="188"/>
        <item x="231"/>
        <item x="110"/>
        <item x="199"/>
        <item x="139"/>
        <item x="309"/>
        <item x="170"/>
        <item x="126"/>
        <item x="8"/>
        <item x="318"/>
        <item x="132"/>
        <item x="98"/>
        <item x="225"/>
        <item t="default"/>
      </items>
    </pivotField>
    <pivotField numFmtId="14" showAll="0"/>
    <pivotField showAll="0">
      <items count="330">
        <item x="153"/>
        <item x="309"/>
        <item x="188"/>
        <item x="231"/>
        <item x="239"/>
        <item x="218"/>
        <item x="70"/>
        <item x="132"/>
        <item x="83"/>
        <item x="267"/>
        <item x="122"/>
        <item x="40"/>
        <item x="141"/>
        <item x="107"/>
        <item x="328"/>
        <item x="9"/>
        <item x="80"/>
        <item x="94"/>
        <item x="63"/>
        <item x="148"/>
        <item x="55"/>
        <item x="294"/>
        <item x="250"/>
        <item x="234"/>
        <item x="125"/>
        <item x="263"/>
        <item x="282"/>
        <item x="173"/>
        <item x="175"/>
        <item x="214"/>
        <item x="68"/>
        <item x="311"/>
        <item x="279"/>
        <item x="190"/>
        <item x="12"/>
        <item x="293"/>
        <item x="193"/>
        <item x="91"/>
        <item x="266"/>
        <item x="42"/>
        <item x="98"/>
        <item x="110"/>
        <item x="154"/>
        <item x="215"/>
        <item x="316"/>
        <item x="177"/>
        <item x="235"/>
        <item x="104"/>
        <item x="260"/>
        <item x="10"/>
        <item x="16"/>
        <item x="30"/>
        <item x="74"/>
        <item x="224"/>
        <item x="89"/>
        <item x="226"/>
        <item x="17"/>
        <item x="166"/>
        <item x="34"/>
        <item x="296"/>
        <item x="264"/>
        <item x="312"/>
        <item x="205"/>
        <item x="65"/>
        <item x="198"/>
        <item x="115"/>
        <item x="5"/>
        <item x="51"/>
        <item x="180"/>
        <item x="257"/>
        <item x="228"/>
        <item x="308"/>
        <item x="274"/>
        <item x="203"/>
        <item x="275"/>
        <item x="111"/>
        <item x="14"/>
        <item x="155"/>
        <item x="217"/>
        <item x="174"/>
        <item x="238"/>
        <item x="241"/>
        <item x="46"/>
        <item x="39"/>
        <item x="237"/>
        <item x="201"/>
        <item x="255"/>
        <item x="129"/>
        <item x="135"/>
        <item x="171"/>
        <item x="243"/>
        <item x="251"/>
        <item x="156"/>
        <item x="270"/>
        <item x="138"/>
        <item x="4"/>
        <item x="194"/>
        <item x="161"/>
        <item x="317"/>
        <item x="84"/>
        <item x="2"/>
        <item x="240"/>
        <item x="139"/>
        <item x="271"/>
        <item x="87"/>
        <item x="320"/>
        <item x="77"/>
        <item x="210"/>
        <item x="295"/>
        <item x="164"/>
        <item x="284"/>
        <item x="117"/>
        <item x="233"/>
        <item x="152"/>
        <item x="54"/>
        <item x="7"/>
        <item x="200"/>
        <item x="183"/>
        <item x="159"/>
        <item x="223"/>
        <item x="207"/>
        <item x="47"/>
        <item x="247"/>
        <item x="18"/>
        <item x="140"/>
        <item x="21"/>
        <item x="304"/>
        <item x="22"/>
        <item x="272"/>
        <item x="289"/>
        <item x="32"/>
        <item x="222"/>
        <item x="220"/>
        <item x="62"/>
        <item x="321"/>
        <item x="302"/>
        <item x="176"/>
        <item x="258"/>
        <item x="192"/>
        <item x="76"/>
        <item x="206"/>
        <item x="158"/>
        <item x="229"/>
        <item x="252"/>
        <item x="19"/>
        <item x="86"/>
        <item x="191"/>
        <item x="265"/>
        <item x="28"/>
        <item x="315"/>
        <item x="288"/>
        <item x="118"/>
        <item x="131"/>
        <item x="45"/>
        <item x="169"/>
        <item x="208"/>
        <item x="292"/>
        <item x="145"/>
        <item x="29"/>
        <item x="325"/>
        <item x="253"/>
        <item x="72"/>
        <item x="106"/>
        <item x="300"/>
        <item x="313"/>
        <item x="276"/>
        <item x="99"/>
        <item x="324"/>
        <item x="61"/>
        <item x="170"/>
        <item x="1"/>
        <item x="121"/>
        <item x="305"/>
        <item x="163"/>
        <item x="151"/>
        <item x="15"/>
        <item x="116"/>
        <item x="41"/>
        <item x="100"/>
        <item x="123"/>
        <item x="44"/>
        <item x="143"/>
        <item x="246"/>
        <item x="287"/>
        <item x="144"/>
        <item x="13"/>
        <item x="254"/>
        <item x="113"/>
        <item x="197"/>
        <item x="179"/>
        <item x="326"/>
        <item x="280"/>
        <item x="105"/>
        <item x="101"/>
        <item x="261"/>
        <item x="213"/>
        <item x="269"/>
        <item x="249"/>
        <item x="307"/>
        <item x="182"/>
        <item x="24"/>
        <item x="178"/>
        <item x="11"/>
        <item x="119"/>
        <item x="327"/>
        <item x="299"/>
        <item x="38"/>
        <item x="53"/>
        <item x="58"/>
        <item x="90"/>
        <item x="37"/>
        <item x="303"/>
        <item x="64"/>
        <item x="49"/>
        <item x="221"/>
        <item x="225"/>
        <item x="26"/>
        <item x="127"/>
        <item x="189"/>
        <item x="301"/>
        <item x="262"/>
        <item x="209"/>
        <item x="95"/>
        <item x="242"/>
        <item x="67"/>
        <item x="314"/>
        <item x="150"/>
        <item x="248"/>
        <item x="277"/>
        <item x="36"/>
        <item x="212"/>
        <item x="204"/>
        <item x="142"/>
        <item x="103"/>
        <item x="160"/>
        <item x="75"/>
        <item x="126"/>
        <item x="319"/>
        <item x="128"/>
        <item x="137"/>
        <item x="43"/>
        <item x="219"/>
        <item x="298"/>
        <item x="66"/>
        <item x="133"/>
        <item x="172"/>
        <item x="186"/>
        <item x="25"/>
        <item x="147"/>
        <item x="93"/>
        <item x="79"/>
        <item x="290"/>
        <item x="310"/>
        <item x="0"/>
        <item x="88"/>
        <item x="33"/>
        <item x="256"/>
        <item x="57"/>
        <item x="259"/>
        <item x="297"/>
        <item x="322"/>
        <item x="31"/>
        <item x="81"/>
        <item x="196"/>
        <item x="278"/>
        <item x="146"/>
        <item x="71"/>
        <item x="20"/>
        <item x="134"/>
        <item x="85"/>
        <item x="3"/>
        <item x="112"/>
        <item x="78"/>
        <item x="281"/>
        <item x="52"/>
        <item x="230"/>
        <item x="291"/>
        <item x="184"/>
        <item x="102"/>
        <item x="136"/>
        <item x="162"/>
        <item x="157"/>
        <item x="187"/>
        <item x="149"/>
        <item x="97"/>
        <item x="244"/>
        <item x="199"/>
        <item x="120"/>
        <item x="82"/>
        <item x="35"/>
        <item x="96"/>
        <item x="59"/>
        <item x="227"/>
        <item x="232"/>
        <item x="306"/>
        <item x="50"/>
        <item x="60"/>
        <item x="165"/>
        <item x="202"/>
        <item x="167"/>
        <item x="73"/>
        <item x="285"/>
        <item x="108"/>
        <item x="211"/>
        <item x="48"/>
        <item x="114"/>
        <item x="69"/>
        <item x="23"/>
        <item x="56"/>
        <item x="283"/>
        <item x="109"/>
        <item x="236"/>
        <item x="323"/>
        <item x="318"/>
        <item x="168"/>
        <item x="268"/>
        <item x="195"/>
        <item x="185"/>
        <item x="130"/>
        <item x="286"/>
        <item x="124"/>
        <item x="216"/>
        <item x="27"/>
        <item x="8"/>
        <item x="273"/>
        <item x="245"/>
        <item x="181"/>
        <item x="92"/>
        <item x="6"/>
        <item t="default"/>
      </items>
    </pivotField>
    <pivotField showAll="0">
      <items count="134">
        <item x="79"/>
        <item x="121"/>
        <item x="116"/>
        <item x="123"/>
        <item x="86"/>
        <item x="126"/>
        <item x="114"/>
        <item x="57"/>
        <item x="50"/>
        <item x="83"/>
        <item x="13"/>
        <item x="122"/>
        <item x="37"/>
        <item x="18"/>
        <item x="23"/>
        <item x="87"/>
        <item x="6"/>
        <item x="105"/>
        <item x="70"/>
        <item x="45"/>
        <item x="73"/>
        <item x="16"/>
        <item x="38"/>
        <item x="52"/>
        <item x="93"/>
        <item x="40"/>
        <item x="101"/>
        <item x="53"/>
        <item x="7"/>
        <item x="64"/>
        <item x="74"/>
        <item x="112"/>
        <item x="48"/>
        <item x="113"/>
        <item x="106"/>
        <item x="124"/>
        <item x="97"/>
        <item x="24"/>
        <item x="42"/>
        <item x="68"/>
        <item x="84"/>
        <item x="58"/>
        <item x="67"/>
        <item x="22"/>
        <item x="104"/>
        <item x="39"/>
        <item x="17"/>
        <item x="26"/>
        <item x="81"/>
        <item x="75"/>
        <item x="89"/>
        <item x="120"/>
        <item x="60"/>
        <item x="85"/>
        <item x="82"/>
        <item x="36"/>
        <item x="128"/>
        <item x="28"/>
        <item x="4"/>
        <item x="54"/>
        <item x="108"/>
        <item x="90"/>
        <item x="98"/>
        <item x="8"/>
        <item x="25"/>
        <item x="47"/>
        <item x="31"/>
        <item x="110"/>
        <item x="20"/>
        <item x="33"/>
        <item x="1"/>
        <item x="107"/>
        <item x="78"/>
        <item x="118"/>
        <item x="61"/>
        <item x="49"/>
        <item x="94"/>
        <item x="65"/>
        <item x="43"/>
        <item x="5"/>
        <item x="30"/>
        <item x="99"/>
        <item x="62"/>
        <item x="77"/>
        <item x="80"/>
        <item x="100"/>
        <item x="95"/>
        <item x="91"/>
        <item x="72"/>
        <item x="34"/>
        <item x="119"/>
        <item x="14"/>
        <item x="131"/>
        <item x="96"/>
        <item x="32"/>
        <item x="15"/>
        <item x="27"/>
        <item x="127"/>
        <item x="21"/>
        <item x="92"/>
        <item x="46"/>
        <item x="9"/>
        <item x="63"/>
        <item x="103"/>
        <item x="51"/>
        <item x="55"/>
        <item x="125"/>
        <item x="111"/>
        <item x="41"/>
        <item x="29"/>
        <item x="130"/>
        <item x="19"/>
        <item x="129"/>
        <item x="11"/>
        <item x="35"/>
        <item x="56"/>
        <item x="12"/>
        <item x="59"/>
        <item x="69"/>
        <item x="66"/>
        <item x="109"/>
        <item x="132"/>
        <item x="115"/>
        <item x="76"/>
        <item x="117"/>
        <item x="71"/>
        <item x="10"/>
        <item x="44"/>
        <item x="102"/>
        <item x="2"/>
        <item x="88"/>
        <item x="3"/>
        <item x="0"/>
        <item t="default"/>
      </items>
    </pivotField>
    <pivotField numFmtId="165" showAll="0"/>
    <pivotField numFmtId="165" showAll="0"/>
    <pivotField numFmtId="165" showAll="0"/>
    <pivotField showAll="0"/>
    <pivotField showAll="0"/>
    <pivotField showAll="0"/>
    <pivotField numFmtId="165" showAll="0"/>
    <pivotField dataField="1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2"/>
  </rowFields>
  <rowItems count="11">
    <i>
      <x v="107"/>
    </i>
    <i>
      <x v="217"/>
    </i>
    <i>
      <x v="135"/>
    </i>
    <i>
      <x v="212"/>
    </i>
    <i>
      <x v="229"/>
    </i>
    <i>
      <x v="149"/>
    </i>
    <i>
      <x v="90"/>
    </i>
    <i>
      <x v="203"/>
    </i>
    <i>
      <x v="33"/>
    </i>
    <i>
      <x v="112"/>
    </i>
    <i t="grand">
      <x/>
    </i>
  </rowItems>
  <colItems count="1">
    <i/>
  </colItems>
  <dataFields count="1">
    <dataField name="Média de Prazo" fld="16" subtotal="average" baseField="2" baseItem="198" numFmtId="1"/>
  </dataFields>
  <chartFormats count="4">
    <chartFormat chart="2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04CCE7-EDCB-4B08-8E9E-93C9097F1702}" name="Tabela dinâmica12" cacheId="18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4">
  <location ref="L2:M15" firstHeaderRow="1" firstDataRow="1" firstDataCol="1"/>
  <pivotFields count="23">
    <pivotField showAll="0"/>
    <pivotField showAll="0"/>
    <pivotField showAll="0"/>
    <pivotField showAll="0">
      <items count="11">
        <item x="4"/>
        <item h="1" x="5"/>
        <item h="1" x="1"/>
        <item h="1" x="6"/>
        <item h="1" x="2"/>
        <item h="1" x="7"/>
        <item h="1" x="3"/>
        <item h="1" x="0"/>
        <item h="1" x="8"/>
        <item h="1" x="9"/>
        <item t="default"/>
      </items>
    </pivotField>
    <pivotField showAll="0"/>
    <pivotField axis="axisRow" numFmtId="14" showAll="0">
      <items count="331">
        <item x="194"/>
        <item x="41"/>
        <item x="235"/>
        <item x="154"/>
        <item x="144"/>
        <item x="189"/>
        <item x="268"/>
        <item x="300"/>
        <item x="203"/>
        <item x="304"/>
        <item x="135"/>
        <item x="314"/>
        <item x="302"/>
        <item x="102"/>
        <item x="134"/>
        <item x="243"/>
        <item x="73"/>
        <item x="99"/>
        <item x="260"/>
        <item x="244"/>
        <item x="206"/>
        <item x="252"/>
        <item x="96"/>
        <item x="81"/>
        <item x="249"/>
        <item x="57"/>
        <item x="10"/>
        <item x="124"/>
        <item x="176"/>
        <item x="84"/>
        <item x="277"/>
        <item x="190"/>
        <item x="13"/>
        <item x="162"/>
        <item x="155"/>
        <item x="273"/>
        <item x="127"/>
        <item x="270"/>
        <item x="272"/>
        <item x="95"/>
        <item x="72"/>
        <item x="269"/>
        <item x="30"/>
        <item x="280"/>
        <item x="224"/>
        <item x="179"/>
        <item x="287"/>
        <item x="192"/>
        <item x="11"/>
        <item x="44"/>
        <item x="191"/>
        <item x="275"/>
        <item x="177"/>
        <item x="289"/>
        <item x="69"/>
        <item x="17"/>
        <item x="105"/>
        <item x="93"/>
        <item x="218"/>
        <item x="168"/>
        <item x="276"/>
        <item x="78"/>
        <item x="169"/>
        <item x="51"/>
        <item x="113"/>
        <item x="237"/>
        <item x="181"/>
        <item x="117"/>
        <item x="196"/>
        <item x="56"/>
        <item x="86"/>
        <item x="214"/>
        <item x="229"/>
        <item x="114"/>
        <item x="5"/>
        <item x="18"/>
        <item x="15"/>
        <item x="234"/>
        <item x="174"/>
        <item x="213"/>
        <item x="306"/>
        <item x="145"/>
        <item x="142"/>
        <item x="248"/>
        <item x="326"/>
        <item x="48"/>
        <item x="246"/>
        <item x="312"/>
        <item x="186"/>
        <item x="284"/>
        <item x="157"/>
        <item x="316"/>
        <item x="217"/>
        <item x="293"/>
        <item x="2"/>
        <item x="140"/>
        <item x="303"/>
        <item x="288"/>
        <item x="131"/>
        <item x="257"/>
        <item x="128"/>
        <item x="161"/>
        <item x="4"/>
        <item x="285"/>
        <item x="319"/>
        <item x="94"/>
        <item x="271"/>
        <item x="148"/>
        <item x="55"/>
        <item x="87"/>
        <item x="183"/>
        <item x="208"/>
        <item x="160"/>
        <item x="220"/>
        <item x="91"/>
        <item x="282"/>
        <item x="7"/>
        <item x="253"/>
        <item x="204"/>
        <item x="23"/>
        <item x="251"/>
        <item x="24"/>
        <item x="241"/>
        <item x="307"/>
        <item x="153"/>
        <item x="6"/>
        <item x="20"/>
        <item x="101"/>
        <item x="329"/>
        <item x="216"/>
        <item x="228"/>
        <item x="184"/>
        <item x="31"/>
        <item x="118"/>
        <item x="33"/>
        <item x="34"/>
        <item x="116"/>
        <item x="40"/>
        <item x="159"/>
        <item x="296"/>
        <item x="211"/>
        <item x="254"/>
        <item x="133"/>
        <item x="178"/>
        <item x="239"/>
        <item x="298"/>
        <item x="120"/>
        <item x="125"/>
        <item x="29"/>
        <item x="21"/>
        <item x="171"/>
        <item x="274"/>
        <item x="79"/>
        <item x="325"/>
        <item x="286"/>
        <item x="262"/>
        <item x="90"/>
        <item x="64"/>
        <item x="9"/>
        <item x="255"/>
        <item x="240"/>
        <item x="264"/>
        <item x="43"/>
        <item x="1"/>
        <item x="16"/>
        <item x="123"/>
        <item x="75"/>
        <item x="297"/>
        <item x="19"/>
        <item x="47"/>
        <item x="195"/>
        <item x="215"/>
        <item x="107"/>
        <item x="115"/>
        <item x="165"/>
        <item x="103"/>
        <item x="299"/>
        <item x="219"/>
        <item x="198"/>
        <item x="54"/>
        <item x="106"/>
        <item x="238"/>
        <item x="250"/>
        <item x="308"/>
        <item x="42"/>
        <item x="46"/>
        <item x="146"/>
        <item x="202"/>
        <item x="247"/>
        <item x="119"/>
        <item x="14"/>
        <item x="278"/>
        <item x="205"/>
        <item x="147"/>
        <item x="256"/>
        <item x="26"/>
        <item x="223"/>
        <item x="236"/>
        <item x="173"/>
        <item x="67"/>
        <item x="180"/>
        <item x="327"/>
        <item x="12"/>
        <item x="259"/>
        <item x="200"/>
        <item x="27"/>
        <item x="53"/>
        <item x="290"/>
        <item x="261"/>
        <item x="279"/>
        <item x="233"/>
        <item x="38"/>
        <item x="122"/>
        <item x="68"/>
        <item x="324"/>
        <item x="121"/>
        <item x="39"/>
        <item x="209"/>
        <item x="59"/>
        <item x="321"/>
        <item x="210"/>
        <item x="129"/>
        <item x="227"/>
        <item x="295"/>
        <item x="166"/>
        <item x="71"/>
        <item x="130"/>
        <item x="323"/>
        <item x="320"/>
        <item x="311"/>
        <item x="263"/>
        <item x="100"/>
        <item x="49"/>
        <item x="152"/>
        <item x="305"/>
        <item x="221"/>
        <item x="45"/>
        <item x="315"/>
        <item x="37"/>
        <item x="156"/>
        <item x="63"/>
        <item x="167"/>
        <item x="242"/>
        <item x="143"/>
        <item x="149"/>
        <item x="151"/>
        <item x="185"/>
        <item x="136"/>
        <item x="172"/>
        <item x="70"/>
        <item x="281"/>
        <item x="310"/>
        <item x="291"/>
        <item x="267"/>
        <item x="212"/>
        <item x="66"/>
        <item x="294"/>
        <item x="0"/>
        <item x="187"/>
        <item x="92"/>
        <item x="150"/>
        <item x="32"/>
        <item x="322"/>
        <item x="35"/>
        <item x="74"/>
        <item x="82"/>
        <item x="313"/>
        <item x="201"/>
        <item x="109"/>
        <item x="138"/>
        <item x="88"/>
        <item x="164"/>
        <item x="317"/>
        <item x="22"/>
        <item x="226"/>
        <item x="80"/>
        <item x="230"/>
        <item x="77"/>
        <item x="301"/>
        <item x="52"/>
        <item x="258"/>
        <item x="265"/>
        <item x="292"/>
        <item x="232"/>
        <item x="97"/>
        <item x="266"/>
        <item x="3"/>
        <item x="85"/>
        <item x="76"/>
        <item x="62"/>
        <item x="193"/>
        <item x="207"/>
        <item x="83"/>
        <item x="197"/>
        <item x="112"/>
        <item x="61"/>
        <item x="328"/>
        <item x="283"/>
        <item x="141"/>
        <item x="222"/>
        <item x="25"/>
        <item x="104"/>
        <item x="89"/>
        <item x="65"/>
        <item x="60"/>
        <item x="28"/>
        <item x="137"/>
        <item x="108"/>
        <item x="245"/>
        <item x="175"/>
        <item x="163"/>
        <item x="36"/>
        <item x="50"/>
        <item x="111"/>
        <item x="58"/>
        <item x="182"/>
        <item x="158"/>
        <item x="188"/>
        <item x="231"/>
        <item x="110"/>
        <item x="199"/>
        <item x="139"/>
        <item x="309"/>
        <item x="170"/>
        <item x="126"/>
        <item x="8"/>
        <item x="318"/>
        <item x="132"/>
        <item x="98"/>
        <item x="225"/>
        <item t="default"/>
      </items>
    </pivotField>
    <pivotField numFmtId="14" showAll="0"/>
    <pivotField showAll="0">
      <items count="330">
        <item x="153"/>
        <item x="309"/>
        <item x="188"/>
        <item x="231"/>
        <item x="239"/>
        <item x="218"/>
        <item x="70"/>
        <item x="132"/>
        <item x="83"/>
        <item x="267"/>
        <item x="122"/>
        <item x="40"/>
        <item x="141"/>
        <item x="107"/>
        <item x="328"/>
        <item x="9"/>
        <item x="80"/>
        <item x="94"/>
        <item x="63"/>
        <item x="148"/>
        <item x="55"/>
        <item x="294"/>
        <item x="250"/>
        <item x="234"/>
        <item x="125"/>
        <item x="263"/>
        <item x="282"/>
        <item x="173"/>
        <item x="175"/>
        <item x="214"/>
        <item x="68"/>
        <item x="311"/>
        <item x="279"/>
        <item x="190"/>
        <item x="12"/>
        <item x="293"/>
        <item x="193"/>
        <item x="91"/>
        <item x="266"/>
        <item x="42"/>
        <item x="98"/>
        <item x="110"/>
        <item x="154"/>
        <item x="215"/>
        <item x="316"/>
        <item x="177"/>
        <item x="235"/>
        <item x="104"/>
        <item x="260"/>
        <item x="10"/>
        <item x="16"/>
        <item x="30"/>
        <item x="74"/>
        <item x="224"/>
        <item x="89"/>
        <item x="226"/>
        <item x="17"/>
        <item x="166"/>
        <item x="34"/>
        <item x="296"/>
        <item x="264"/>
        <item x="312"/>
        <item x="205"/>
        <item x="65"/>
        <item x="198"/>
        <item x="115"/>
        <item x="5"/>
        <item x="51"/>
        <item x="180"/>
        <item x="257"/>
        <item x="228"/>
        <item x="308"/>
        <item x="274"/>
        <item x="203"/>
        <item x="275"/>
        <item x="111"/>
        <item x="14"/>
        <item x="155"/>
        <item x="217"/>
        <item x="174"/>
        <item x="238"/>
        <item x="241"/>
        <item x="46"/>
        <item x="39"/>
        <item x="237"/>
        <item x="201"/>
        <item x="255"/>
        <item x="129"/>
        <item x="135"/>
        <item x="171"/>
        <item x="243"/>
        <item x="251"/>
        <item x="156"/>
        <item x="270"/>
        <item x="138"/>
        <item x="4"/>
        <item x="194"/>
        <item x="161"/>
        <item x="317"/>
        <item x="84"/>
        <item x="2"/>
        <item x="240"/>
        <item x="139"/>
        <item x="271"/>
        <item x="87"/>
        <item x="320"/>
        <item x="77"/>
        <item x="210"/>
        <item x="295"/>
        <item x="164"/>
        <item x="284"/>
        <item x="117"/>
        <item x="233"/>
        <item x="152"/>
        <item x="54"/>
        <item x="7"/>
        <item x="200"/>
        <item x="183"/>
        <item x="159"/>
        <item x="223"/>
        <item x="207"/>
        <item x="47"/>
        <item x="247"/>
        <item x="18"/>
        <item x="140"/>
        <item x="21"/>
        <item x="304"/>
        <item x="22"/>
        <item x="272"/>
        <item x="289"/>
        <item x="32"/>
        <item x="222"/>
        <item x="220"/>
        <item x="62"/>
        <item x="321"/>
        <item x="302"/>
        <item x="176"/>
        <item x="258"/>
        <item x="192"/>
        <item x="76"/>
        <item x="206"/>
        <item x="158"/>
        <item x="229"/>
        <item x="252"/>
        <item x="19"/>
        <item x="86"/>
        <item x="191"/>
        <item x="265"/>
        <item x="28"/>
        <item x="315"/>
        <item x="288"/>
        <item x="118"/>
        <item x="131"/>
        <item x="45"/>
        <item x="169"/>
        <item x="208"/>
        <item x="292"/>
        <item x="145"/>
        <item x="29"/>
        <item x="325"/>
        <item x="253"/>
        <item x="72"/>
        <item x="106"/>
        <item x="300"/>
        <item x="313"/>
        <item x="276"/>
        <item x="99"/>
        <item x="324"/>
        <item x="61"/>
        <item x="170"/>
        <item x="1"/>
        <item x="121"/>
        <item x="305"/>
        <item x="163"/>
        <item x="151"/>
        <item x="15"/>
        <item x="116"/>
        <item x="41"/>
        <item x="100"/>
        <item x="123"/>
        <item x="44"/>
        <item x="143"/>
        <item x="246"/>
        <item x="287"/>
        <item x="144"/>
        <item x="13"/>
        <item x="254"/>
        <item x="113"/>
        <item x="197"/>
        <item x="179"/>
        <item x="326"/>
        <item x="280"/>
        <item x="105"/>
        <item x="101"/>
        <item x="261"/>
        <item x="213"/>
        <item x="269"/>
        <item x="249"/>
        <item x="307"/>
        <item x="182"/>
        <item x="24"/>
        <item x="178"/>
        <item x="11"/>
        <item x="119"/>
        <item x="327"/>
        <item x="299"/>
        <item x="38"/>
        <item x="53"/>
        <item x="58"/>
        <item x="90"/>
        <item x="37"/>
        <item x="303"/>
        <item x="64"/>
        <item x="49"/>
        <item x="221"/>
        <item x="225"/>
        <item x="26"/>
        <item x="127"/>
        <item x="189"/>
        <item x="301"/>
        <item x="262"/>
        <item x="209"/>
        <item x="95"/>
        <item x="242"/>
        <item x="67"/>
        <item x="314"/>
        <item x="150"/>
        <item x="248"/>
        <item x="277"/>
        <item x="36"/>
        <item x="212"/>
        <item x="204"/>
        <item x="142"/>
        <item x="103"/>
        <item x="160"/>
        <item x="75"/>
        <item x="126"/>
        <item x="319"/>
        <item x="128"/>
        <item x="137"/>
        <item x="43"/>
        <item x="219"/>
        <item x="298"/>
        <item x="66"/>
        <item x="133"/>
        <item x="172"/>
        <item x="186"/>
        <item x="25"/>
        <item x="147"/>
        <item x="93"/>
        <item x="79"/>
        <item x="290"/>
        <item x="310"/>
        <item x="0"/>
        <item x="88"/>
        <item x="33"/>
        <item x="256"/>
        <item x="57"/>
        <item x="259"/>
        <item x="297"/>
        <item x="322"/>
        <item x="31"/>
        <item x="81"/>
        <item x="196"/>
        <item x="278"/>
        <item x="146"/>
        <item x="71"/>
        <item x="20"/>
        <item x="134"/>
        <item x="85"/>
        <item x="3"/>
        <item x="112"/>
        <item x="78"/>
        <item x="281"/>
        <item x="52"/>
        <item x="230"/>
        <item x="291"/>
        <item x="184"/>
        <item x="102"/>
        <item x="136"/>
        <item x="162"/>
        <item x="157"/>
        <item x="187"/>
        <item x="149"/>
        <item x="97"/>
        <item x="244"/>
        <item x="199"/>
        <item x="120"/>
        <item x="82"/>
        <item x="35"/>
        <item x="96"/>
        <item x="59"/>
        <item x="227"/>
        <item x="232"/>
        <item x="306"/>
        <item x="50"/>
        <item x="60"/>
        <item x="165"/>
        <item x="202"/>
        <item x="167"/>
        <item x="73"/>
        <item x="285"/>
        <item x="108"/>
        <item x="211"/>
        <item x="48"/>
        <item x="114"/>
        <item x="69"/>
        <item x="23"/>
        <item x="56"/>
        <item x="283"/>
        <item x="109"/>
        <item x="236"/>
        <item x="323"/>
        <item x="318"/>
        <item x="168"/>
        <item x="268"/>
        <item x="195"/>
        <item x="185"/>
        <item x="130"/>
        <item x="286"/>
        <item x="124"/>
        <item x="216"/>
        <item x="27"/>
        <item x="8"/>
        <item x="273"/>
        <item x="245"/>
        <item x="181"/>
        <item x="92"/>
        <item x="6"/>
        <item t="default"/>
      </items>
    </pivotField>
    <pivotField showAll="0">
      <items count="134">
        <item x="79"/>
        <item x="121"/>
        <item x="116"/>
        <item x="123"/>
        <item x="86"/>
        <item x="126"/>
        <item x="114"/>
        <item x="57"/>
        <item x="50"/>
        <item x="83"/>
        <item x="13"/>
        <item x="122"/>
        <item x="37"/>
        <item x="18"/>
        <item x="23"/>
        <item x="87"/>
        <item x="6"/>
        <item x="105"/>
        <item x="70"/>
        <item x="45"/>
        <item x="73"/>
        <item x="16"/>
        <item x="38"/>
        <item x="52"/>
        <item x="93"/>
        <item x="40"/>
        <item x="101"/>
        <item x="53"/>
        <item x="7"/>
        <item x="64"/>
        <item x="74"/>
        <item x="112"/>
        <item x="48"/>
        <item x="113"/>
        <item x="106"/>
        <item x="124"/>
        <item x="97"/>
        <item x="24"/>
        <item x="42"/>
        <item x="68"/>
        <item x="84"/>
        <item x="58"/>
        <item x="67"/>
        <item x="22"/>
        <item x="104"/>
        <item x="39"/>
        <item x="17"/>
        <item x="26"/>
        <item x="81"/>
        <item x="75"/>
        <item x="89"/>
        <item x="120"/>
        <item x="60"/>
        <item x="85"/>
        <item x="82"/>
        <item x="36"/>
        <item x="128"/>
        <item x="28"/>
        <item x="4"/>
        <item x="54"/>
        <item x="108"/>
        <item x="90"/>
        <item x="98"/>
        <item x="8"/>
        <item x="25"/>
        <item x="47"/>
        <item x="31"/>
        <item x="110"/>
        <item x="20"/>
        <item x="33"/>
        <item x="1"/>
        <item x="107"/>
        <item x="78"/>
        <item x="118"/>
        <item x="61"/>
        <item x="49"/>
        <item x="94"/>
        <item x="65"/>
        <item x="43"/>
        <item x="5"/>
        <item x="30"/>
        <item x="99"/>
        <item x="62"/>
        <item x="77"/>
        <item x="80"/>
        <item x="100"/>
        <item x="95"/>
        <item x="91"/>
        <item x="72"/>
        <item x="34"/>
        <item x="119"/>
        <item x="14"/>
        <item x="131"/>
        <item x="96"/>
        <item x="32"/>
        <item x="15"/>
        <item x="27"/>
        <item x="127"/>
        <item x="21"/>
        <item x="92"/>
        <item x="46"/>
        <item x="9"/>
        <item x="63"/>
        <item x="103"/>
        <item x="51"/>
        <item x="55"/>
        <item x="125"/>
        <item x="111"/>
        <item x="41"/>
        <item x="29"/>
        <item x="130"/>
        <item x="19"/>
        <item x="129"/>
        <item x="11"/>
        <item x="35"/>
        <item x="56"/>
        <item x="12"/>
        <item x="59"/>
        <item x="69"/>
        <item x="66"/>
        <item x="109"/>
        <item x="132"/>
        <item x="115"/>
        <item x="76"/>
        <item x="117"/>
        <item x="71"/>
        <item x="10"/>
        <item x="44"/>
        <item x="102"/>
        <item x="2"/>
        <item x="88"/>
        <item x="3"/>
        <item x="0"/>
        <item t="default"/>
      </items>
    </pivotField>
    <pivotField numFmtId="165" showAll="0"/>
    <pivotField numFmtId="165" showAll="0"/>
    <pivotField numFmtId="165" showAll="0"/>
    <pivotField showAll="0"/>
    <pivotField showAll="0"/>
    <pivotField showAll="0"/>
    <pivotField numFmtId="165" showAll="0"/>
    <pivotField dataField="1"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18"/>
    <field x="17"/>
    <field x="5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Média de Prazo" fld="16" subtotal="average" baseField="18" baseItem="1" numFmtId="1"/>
  </dataFields>
  <chartFormats count="1">
    <chartFormat chart="3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BFCCCF-5293-4DAA-B7F5-BF51E2C274E6}" name="Tabela dinâmica10" cacheId="18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7">
  <location ref="I2:J7" firstHeaderRow="1" firstDataRow="1" firstDataCol="1"/>
  <pivotFields count="23">
    <pivotField showAll="0"/>
    <pivotField showAll="0"/>
    <pivotField showAll="0"/>
    <pivotField showAll="0">
      <items count="11">
        <item x="4"/>
        <item h="1" x="5"/>
        <item h="1" x="1"/>
        <item h="1" x="6"/>
        <item h="1" x="2"/>
        <item h="1" x="7"/>
        <item h="1" x="3"/>
        <item h="1" x="0"/>
        <item h="1" x="8"/>
        <item h="1" x="9"/>
        <item t="default"/>
      </items>
    </pivotField>
    <pivotField axis="axisRow" dataField="1" showAll="0">
      <items count="5">
        <item x="0"/>
        <item x="1"/>
        <item x="2"/>
        <item x="3"/>
        <item t="default"/>
      </items>
    </pivotField>
    <pivotField numFmtId="14" showAll="0">
      <items count="331">
        <item x="194"/>
        <item x="41"/>
        <item x="235"/>
        <item x="154"/>
        <item x="144"/>
        <item x="189"/>
        <item x="268"/>
        <item x="300"/>
        <item x="203"/>
        <item x="304"/>
        <item x="135"/>
        <item x="314"/>
        <item x="302"/>
        <item x="102"/>
        <item x="134"/>
        <item x="243"/>
        <item x="73"/>
        <item x="99"/>
        <item x="260"/>
        <item x="244"/>
        <item x="206"/>
        <item x="252"/>
        <item x="96"/>
        <item x="81"/>
        <item x="249"/>
        <item x="57"/>
        <item x="10"/>
        <item x="124"/>
        <item x="176"/>
        <item x="84"/>
        <item x="277"/>
        <item x="190"/>
        <item x="13"/>
        <item x="162"/>
        <item x="155"/>
        <item x="273"/>
        <item x="127"/>
        <item x="270"/>
        <item x="272"/>
        <item x="95"/>
        <item x="72"/>
        <item x="269"/>
        <item x="30"/>
        <item x="280"/>
        <item x="224"/>
        <item x="179"/>
        <item x="287"/>
        <item x="192"/>
        <item x="11"/>
        <item x="44"/>
        <item x="191"/>
        <item x="275"/>
        <item x="177"/>
        <item x="289"/>
        <item x="69"/>
        <item x="17"/>
        <item x="105"/>
        <item x="93"/>
        <item x="218"/>
        <item x="168"/>
        <item x="276"/>
        <item x="78"/>
        <item x="169"/>
        <item x="51"/>
        <item x="113"/>
        <item x="237"/>
        <item x="181"/>
        <item x="117"/>
        <item x="196"/>
        <item x="56"/>
        <item x="86"/>
        <item x="214"/>
        <item x="229"/>
        <item x="114"/>
        <item x="5"/>
        <item x="18"/>
        <item x="15"/>
        <item x="234"/>
        <item x="174"/>
        <item x="213"/>
        <item x="306"/>
        <item x="145"/>
        <item x="142"/>
        <item x="248"/>
        <item x="326"/>
        <item x="48"/>
        <item x="246"/>
        <item x="312"/>
        <item x="186"/>
        <item x="284"/>
        <item x="157"/>
        <item x="316"/>
        <item x="217"/>
        <item x="293"/>
        <item x="2"/>
        <item x="140"/>
        <item x="303"/>
        <item x="288"/>
        <item x="131"/>
        <item x="257"/>
        <item x="128"/>
        <item x="161"/>
        <item x="4"/>
        <item x="285"/>
        <item x="319"/>
        <item x="94"/>
        <item x="271"/>
        <item x="148"/>
        <item x="55"/>
        <item x="87"/>
        <item x="183"/>
        <item x="208"/>
        <item x="160"/>
        <item x="220"/>
        <item x="91"/>
        <item x="282"/>
        <item x="7"/>
        <item x="253"/>
        <item x="204"/>
        <item x="23"/>
        <item x="251"/>
        <item x="24"/>
        <item x="241"/>
        <item x="307"/>
        <item x="153"/>
        <item x="6"/>
        <item x="20"/>
        <item x="101"/>
        <item x="329"/>
        <item x="216"/>
        <item x="228"/>
        <item x="184"/>
        <item x="31"/>
        <item x="118"/>
        <item x="33"/>
        <item x="34"/>
        <item x="116"/>
        <item x="40"/>
        <item x="159"/>
        <item x="296"/>
        <item x="211"/>
        <item x="254"/>
        <item x="133"/>
        <item x="178"/>
        <item x="239"/>
        <item x="298"/>
        <item x="120"/>
        <item x="125"/>
        <item x="29"/>
        <item x="21"/>
        <item x="171"/>
        <item x="274"/>
        <item x="79"/>
        <item x="325"/>
        <item x="286"/>
        <item x="262"/>
        <item x="90"/>
        <item x="64"/>
        <item x="9"/>
        <item x="255"/>
        <item x="240"/>
        <item x="264"/>
        <item x="43"/>
        <item x="1"/>
        <item x="16"/>
        <item x="123"/>
        <item x="75"/>
        <item x="297"/>
        <item x="19"/>
        <item x="47"/>
        <item x="195"/>
        <item x="215"/>
        <item x="107"/>
        <item x="115"/>
        <item x="165"/>
        <item x="103"/>
        <item x="299"/>
        <item x="219"/>
        <item x="198"/>
        <item x="54"/>
        <item x="106"/>
        <item x="238"/>
        <item x="250"/>
        <item x="308"/>
        <item x="42"/>
        <item x="46"/>
        <item x="146"/>
        <item x="202"/>
        <item x="247"/>
        <item x="119"/>
        <item x="14"/>
        <item x="278"/>
        <item x="205"/>
        <item x="147"/>
        <item x="256"/>
        <item x="26"/>
        <item x="223"/>
        <item x="236"/>
        <item x="173"/>
        <item x="67"/>
        <item x="180"/>
        <item x="327"/>
        <item x="12"/>
        <item x="259"/>
        <item x="200"/>
        <item x="27"/>
        <item x="53"/>
        <item x="290"/>
        <item x="261"/>
        <item x="279"/>
        <item x="233"/>
        <item x="38"/>
        <item x="122"/>
        <item x="68"/>
        <item x="324"/>
        <item x="121"/>
        <item x="39"/>
        <item x="209"/>
        <item x="59"/>
        <item x="321"/>
        <item x="210"/>
        <item x="129"/>
        <item x="227"/>
        <item x="295"/>
        <item x="166"/>
        <item x="71"/>
        <item x="130"/>
        <item x="323"/>
        <item x="320"/>
        <item x="311"/>
        <item x="263"/>
        <item x="100"/>
        <item x="49"/>
        <item x="152"/>
        <item x="305"/>
        <item x="221"/>
        <item x="45"/>
        <item x="315"/>
        <item x="37"/>
        <item x="156"/>
        <item x="63"/>
        <item x="167"/>
        <item x="242"/>
        <item x="143"/>
        <item x="149"/>
        <item x="151"/>
        <item x="185"/>
        <item x="136"/>
        <item x="172"/>
        <item x="70"/>
        <item x="281"/>
        <item x="310"/>
        <item x="291"/>
        <item x="267"/>
        <item x="212"/>
        <item x="66"/>
        <item x="294"/>
        <item x="0"/>
        <item x="187"/>
        <item x="92"/>
        <item x="150"/>
        <item x="32"/>
        <item x="322"/>
        <item x="35"/>
        <item x="74"/>
        <item x="82"/>
        <item x="313"/>
        <item x="201"/>
        <item x="109"/>
        <item x="138"/>
        <item x="88"/>
        <item x="164"/>
        <item x="317"/>
        <item x="22"/>
        <item x="226"/>
        <item x="80"/>
        <item x="230"/>
        <item x="77"/>
        <item x="301"/>
        <item x="52"/>
        <item x="258"/>
        <item x="265"/>
        <item x="292"/>
        <item x="232"/>
        <item x="97"/>
        <item x="266"/>
        <item x="3"/>
        <item x="85"/>
        <item x="76"/>
        <item x="62"/>
        <item x="193"/>
        <item x="207"/>
        <item x="83"/>
        <item x="197"/>
        <item x="112"/>
        <item x="61"/>
        <item x="328"/>
        <item x="283"/>
        <item x="141"/>
        <item x="222"/>
        <item x="25"/>
        <item x="104"/>
        <item x="89"/>
        <item x="65"/>
        <item x="60"/>
        <item x="28"/>
        <item x="137"/>
        <item x="108"/>
        <item x="245"/>
        <item x="175"/>
        <item x="163"/>
        <item x="36"/>
        <item x="50"/>
        <item x="111"/>
        <item x="58"/>
        <item x="182"/>
        <item x="158"/>
        <item x="188"/>
        <item x="231"/>
        <item x="110"/>
        <item x="199"/>
        <item x="139"/>
        <item x="309"/>
        <item x="170"/>
        <item x="126"/>
        <item x="8"/>
        <item x="318"/>
        <item x="132"/>
        <item x="98"/>
        <item x="225"/>
        <item t="default"/>
      </items>
    </pivotField>
    <pivotField numFmtId="14" showAll="0"/>
    <pivotField showAll="0">
      <items count="330">
        <item x="153"/>
        <item x="309"/>
        <item x="188"/>
        <item x="231"/>
        <item x="239"/>
        <item x="218"/>
        <item x="70"/>
        <item x="132"/>
        <item x="83"/>
        <item x="267"/>
        <item x="122"/>
        <item x="40"/>
        <item x="141"/>
        <item x="107"/>
        <item x="328"/>
        <item x="9"/>
        <item x="80"/>
        <item x="94"/>
        <item x="63"/>
        <item x="148"/>
        <item x="55"/>
        <item x="294"/>
        <item x="250"/>
        <item x="234"/>
        <item x="125"/>
        <item x="263"/>
        <item x="282"/>
        <item x="173"/>
        <item x="175"/>
        <item x="214"/>
        <item x="68"/>
        <item x="311"/>
        <item x="279"/>
        <item x="190"/>
        <item x="12"/>
        <item x="293"/>
        <item x="193"/>
        <item x="91"/>
        <item x="266"/>
        <item x="42"/>
        <item x="98"/>
        <item x="110"/>
        <item x="154"/>
        <item x="215"/>
        <item x="316"/>
        <item x="177"/>
        <item x="235"/>
        <item x="104"/>
        <item x="260"/>
        <item x="10"/>
        <item x="16"/>
        <item x="30"/>
        <item x="74"/>
        <item x="224"/>
        <item x="89"/>
        <item x="226"/>
        <item x="17"/>
        <item x="166"/>
        <item x="34"/>
        <item x="296"/>
        <item x="264"/>
        <item x="312"/>
        <item x="205"/>
        <item x="65"/>
        <item x="198"/>
        <item x="115"/>
        <item x="5"/>
        <item x="51"/>
        <item x="180"/>
        <item x="257"/>
        <item x="228"/>
        <item x="308"/>
        <item x="274"/>
        <item x="203"/>
        <item x="275"/>
        <item x="111"/>
        <item x="14"/>
        <item x="155"/>
        <item x="217"/>
        <item x="174"/>
        <item x="238"/>
        <item x="241"/>
        <item x="46"/>
        <item x="39"/>
        <item x="237"/>
        <item x="201"/>
        <item x="255"/>
        <item x="129"/>
        <item x="135"/>
        <item x="171"/>
        <item x="243"/>
        <item x="251"/>
        <item x="156"/>
        <item x="270"/>
        <item x="138"/>
        <item x="4"/>
        <item x="194"/>
        <item x="161"/>
        <item x="317"/>
        <item x="84"/>
        <item x="2"/>
        <item x="240"/>
        <item x="139"/>
        <item x="271"/>
        <item x="87"/>
        <item x="320"/>
        <item x="77"/>
        <item x="210"/>
        <item x="295"/>
        <item x="164"/>
        <item x="284"/>
        <item x="117"/>
        <item x="233"/>
        <item x="152"/>
        <item x="54"/>
        <item x="7"/>
        <item x="200"/>
        <item x="183"/>
        <item x="159"/>
        <item x="223"/>
        <item x="207"/>
        <item x="47"/>
        <item x="247"/>
        <item x="18"/>
        <item x="140"/>
        <item x="21"/>
        <item x="304"/>
        <item x="22"/>
        <item x="272"/>
        <item x="289"/>
        <item x="32"/>
        <item x="222"/>
        <item x="220"/>
        <item x="62"/>
        <item x="321"/>
        <item x="302"/>
        <item x="176"/>
        <item x="258"/>
        <item x="192"/>
        <item x="76"/>
        <item x="206"/>
        <item x="158"/>
        <item x="229"/>
        <item x="252"/>
        <item x="19"/>
        <item x="86"/>
        <item x="191"/>
        <item x="265"/>
        <item x="28"/>
        <item x="315"/>
        <item x="288"/>
        <item x="118"/>
        <item x="131"/>
        <item x="45"/>
        <item x="169"/>
        <item x="208"/>
        <item x="292"/>
        <item x="145"/>
        <item x="29"/>
        <item x="325"/>
        <item x="253"/>
        <item x="72"/>
        <item x="106"/>
        <item x="300"/>
        <item x="313"/>
        <item x="276"/>
        <item x="99"/>
        <item x="324"/>
        <item x="61"/>
        <item x="170"/>
        <item x="1"/>
        <item x="121"/>
        <item x="305"/>
        <item x="163"/>
        <item x="151"/>
        <item x="15"/>
        <item x="116"/>
        <item x="41"/>
        <item x="100"/>
        <item x="123"/>
        <item x="44"/>
        <item x="143"/>
        <item x="246"/>
        <item x="287"/>
        <item x="144"/>
        <item x="13"/>
        <item x="254"/>
        <item x="113"/>
        <item x="197"/>
        <item x="179"/>
        <item x="326"/>
        <item x="280"/>
        <item x="105"/>
        <item x="101"/>
        <item x="261"/>
        <item x="213"/>
        <item x="269"/>
        <item x="249"/>
        <item x="307"/>
        <item x="182"/>
        <item x="24"/>
        <item x="178"/>
        <item x="11"/>
        <item x="119"/>
        <item x="327"/>
        <item x="299"/>
        <item x="38"/>
        <item x="53"/>
        <item x="58"/>
        <item x="90"/>
        <item x="37"/>
        <item x="303"/>
        <item x="64"/>
        <item x="49"/>
        <item x="221"/>
        <item x="225"/>
        <item x="26"/>
        <item x="127"/>
        <item x="189"/>
        <item x="301"/>
        <item x="262"/>
        <item x="209"/>
        <item x="95"/>
        <item x="242"/>
        <item x="67"/>
        <item x="314"/>
        <item x="150"/>
        <item x="248"/>
        <item x="277"/>
        <item x="36"/>
        <item x="212"/>
        <item x="204"/>
        <item x="142"/>
        <item x="103"/>
        <item x="160"/>
        <item x="75"/>
        <item x="126"/>
        <item x="319"/>
        <item x="128"/>
        <item x="137"/>
        <item x="43"/>
        <item x="219"/>
        <item x="298"/>
        <item x="66"/>
        <item x="133"/>
        <item x="172"/>
        <item x="186"/>
        <item x="25"/>
        <item x="147"/>
        <item x="93"/>
        <item x="79"/>
        <item x="290"/>
        <item x="310"/>
        <item x="0"/>
        <item x="88"/>
        <item x="33"/>
        <item x="256"/>
        <item x="57"/>
        <item x="259"/>
        <item x="297"/>
        <item x="322"/>
        <item x="31"/>
        <item x="81"/>
        <item x="196"/>
        <item x="278"/>
        <item x="146"/>
        <item x="71"/>
        <item x="20"/>
        <item x="134"/>
        <item x="85"/>
        <item x="3"/>
        <item x="112"/>
        <item x="78"/>
        <item x="281"/>
        <item x="52"/>
        <item x="230"/>
        <item x="291"/>
        <item x="184"/>
        <item x="102"/>
        <item x="136"/>
        <item x="162"/>
        <item x="157"/>
        <item x="187"/>
        <item x="149"/>
        <item x="97"/>
        <item x="244"/>
        <item x="199"/>
        <item x="120"/>
        <item x="82"/>
        <item x="35"/>
        <item x="96"/>
        <item x="59"/>
        <item x="227"/>
        <item x="232"/>
        <item x="306"/>
        <item x="50"/>
        <item x="60"/>
        <item x="165"/>
        <item x="202"/>
        <item x="167"/>
        <item x="73"/>
        <item x="285"/>
        <item x="108"/>
        <item x="211"/>
        <item x="48"/>
        <item x="114"/>
        <item x="69"/>
        <item x="23"/>
        <item x="56"/>
        <item x="283"/>
        <item x="109"/>
        <item x="236"/>
        <item x="323"/>
        <item x="318"/>
        <item x="168"/>
        <item x="268"/>
        <item x="195"/>
        <item x="185"/>
        <item x="130"/>
        <item x="286"/>
        <item x="124"/>
        <item x="216"/>
        <item x="27"/>
        <item x="8"/>
        <item x="273"/>
        <item x="245"/>
        <item x="181"/>
        <item x="92"/>
        <item x="6"/>
        <item t="default"/>
      </items>
    </pivotField>
    <pivotField showAll="0">
      <items count="134">
        <item x="79"/>
        <item x="121"/>
        <item x="116"/>
        <item x="123"/>
        <item x="86"/>
        <item x="126"/>
        <item x="114"/>
        <item x="57"/>
        <item x="50"/>
        <item x="83"/>
        <item x="13"/>
        <item x="122"/>
        <item x="37"/>
        <item x="18"/>
        <item x="23"/>
        <item x="87"/>
        <item x="6"/>
        <item x="105"/>
        <item x="70"/>
        <item x="45"/>
        <item x="73"/>
        <item x="16"/>
        <item x="38"/>
        <item x="52"/>
        <item x="93"/>
        <item x="40"/>
        <item x="101"/>
        <item x="53"/>
        <item x="7"/>
        <item x="64"/>
        <item x="74"/>
        <item x="112"/>
        <item x="48"/>
        <item x="113"/>
        <item x="106"/>
        <item x="124"/>
        <item x="97"/>
        <item x="24"/>
        <item x="42"/>
        <item x="68"/>
        <item x="84"/>
        <item x="58"/>
        <item x="67"/>
        <item x="22"/>
        <item x="104"/>
        <item x="39"/>
        <item x="17"/>
        <item x="26"/>
        <item x="81"/>
        <item x="75"/>
        <item x="89"/>
        <item x="120"/>
        <item x="60"/>
        <item x="85"/>
        <item x="82"/>
        <item x="36"/>
        <item x="128"/>
        <item x="28"/>
        <item x="4"/>
        <item x="54"/>
        <item x="108"/>
        <item x="90"/>
        <item x="98"/>
        <item x="8"/>
        <item x="25"/>
        <item x="47"/>
        <item x="31"/>
        <item x="110"/>
        <item x="20"/>
        <item x="33"/>
        <item x="1"/>
        <item x="107"/>
        <item x="78"/>
        <item x="118"/>
        <item x="61"/>
        <item x="49"/>
        <item x="94"/>
        <item x="65"/>
        <item x="43"/>
        <item x="5"/>
        <item x="30"/>
        <item x="99"/>
        <item x="62"/>
        <item x="77"/>
        <item x="80"/>
        <item x="100"/>
        <item x="95"/>
        <item x="91"/>
        <item x="72"/>
        <item x="34"/>
        <item x="119"/>
        <item x="14"/>
        <item x="131"/>
        <item x="96"/>
        <item x="32"/>
        <item x="15"/>
        <item x="27"/>
        <item x="127"/>
        <item x="21"/>
        <item x="92"/>
        <item x="46"/>
        <item x="9"/>
        <item x="63"/>
        <item x="103"/>
        <item x="51"/>
        <item x="55"/>
        <item x="125"/>
        <item x="111"/>
        <item x="41"/>
        <item x="29"/>
        <item x="130"/>
        <item x="19"/>
        <item x="129"/>
        <item x="11"/>
        <item x="35"/>
        <item x="56"/>
        <item x="12"/>
        <item x="59"/>
        <item x="69"/>
        <item x="66"/>
        <item x="109"/>
        <item x="132"/>
        <item x="115"/>
        <item x="76"/>
        <item x="117"/>
        <item x="71"/>
        <item x="10"/>
        <item x="44"/>
        <item x="102"/>
        <item x="2"/>
        <item x="88"/>
        <item x="3"/>
        <item x="0"/>
        <item t="default"/>
      </items>
    </pivotField>
    <pivotField numFmtId="165" showAll="0"/>
    <pivotField numFmtId="165" showAll="0"/>
    <pivotField numFmtId="165" showAll="0"/>
    <pivotField showAll="0"/>
    <pivotField showAll="0"/>
    <pivotField showAll="0"/>
    <pivotField numFmtId="165"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ntagem de prioridade" fld="4" subtotal="count" baseField="0" baseItem="0"/>
  </dataFields>
  <chartFormats count="5">
    <chartFormat chart="2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5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5" format="9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25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AC0BE6-68D5-4284-AEBA-261B300D3648}" name="Tabela dinâmica9" cacheId="18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9">
  <location ref="D2:G15" firstHeaderRow="0" firstDataRow="1" firstDataCol="1"/>
  <pivotFields count="23">
    <pivotField showAll="0"/>
    <pivotField showAll="0"/>
    <pivotField showAll="0"/>
    <pivotField showAll="0">
      <items count="11">
        <item x="4"/>
        <item h="1" x="5"/>
        <item h="1" x="1"/>
        <item h="1" x="6"/>
        <item h="1" x="2"/>
        <item h="1" x="7"/>
        <item h="1" x="3"/>
        <item h="1" x="0"/>
        <item h="1" x="8"/>
        <item h="1" x="9"/>
        <item t="default"/>
      </items>
    </pivotField>
    <pivotField showAll="0"/>
    <pivotField axis="axisRow" numFmtId="14" showAll="0">
      <items count="331">
        <item x="194"/>
        <item x="41"/>
        <item x="235"/>
        <item x="154"/>
        <item x="144"/>
        <item x="189"/>
        <item x="268"/>
        <item x="300"/>
        <item x="203"/>
        <item x="304"/>
        <item x="135"/>
        <item x="314"/>
        <item x="302"/>
        <item x="102"/>
        <item x="134"/>
        <item x="243"/>
        <item x="73"/>
        <item x="99"/>
        <item x="260"/>
        <item x="244"/>
        <item x="206"/>
        <item x="252"/>
        <item x="96"/>
        <item x="81"/>
        <item x="249"/>
        <item x="57"/>
        <item x="10"/>
        <item x="124"/>
        <item x="176"/>
        <item x="84"/>
        <item x="277"/>
        <item x="190"/>
        <item x="13"/>
        <item x="162"/>
        <item x="155"/>
        <item x="273"/>
        <item x="127"/>
        <item x="270"/>
        <item x="272"/>
        <item x="95"/>
        <item x="72"/>
        <item x="269"/>
        <item x="30"/>
        <item x="280"/>
        <item x="224"/>
        <item x="179"/>
        <item x="287"/>
        <item x="192"/>
        <item x="11"/>
        <item x="44"/>
        <item x="191"/>
        <item x="275"/>
        <item x="177"/>
        <item x="289"/>
        <item x="69"/>
        <item x="17"/>
        <item x="105"/>
        <item x="93"/>
        <item x="218"/>
        <item x="168"/>
        <item x="276"/>
        <item x="78"/>
        <item x="169"/>
        <item x="51"/>
        <item x="113"/>
        <item x="237"/>
        <item x="181"/>
        <item x="117"/>
        <item x="196"/>
        <item x="56"/>
        <item x="86"/>
        <item x="214"/>
        <item x="229"/>
        <item x="114"/>
        <item x="5"/>
        <item x="18"/>
        <item x="15"/>
        <item x="234"/>
        <item x="174"/>
        <item x="213"/>
        <item x="306"/>
        <item x="145"/>
        <item x="142"/>
        <item x="248"/>
        <item x="326"/>
        <item x="48"/>
        <item x="246"/>
        <item x="312"/>
        <item x="186"/>
        <item x="284"/>
        <item x="157"/>
        <item x="316"/>
        <item x="217"/>
        <item x="293"/>
        <item x="2"/>
        <item x="140"/>
        <item x="303"/>
        <item x="288"/>
        <item x="131"/>
        <item x="257"/>
        <item x="128"/>
        <item x="161"/>
        <item x="4"/>
        <item x="285"/>
        <item x="319"/>
        <item x="94"/>
        <item x="271"/>
        <item x="148"/>
        <item x="55"/>
        <item x="87"/>
        <item x="183"/>
        <item x="208"/>
        <item x="160"/>
        <item x="220"/>
        <item x="91"/>
        <item x="282"/>
        <item x="7"/>
        <item x="253"/>
        <item x="204"/>
        <item x="23"/>
        <item x="251"/>
        <item x="24"/>
        <item x="241"/>
        <item x="307"/>
        <item x="153"/>
        <item x="6"/>
        <item x="20"/>
        <item x="101"/>
        <item x="329"/>
        <item x="216"/>
        <item x="228"/>
        <item x="184"/>
        <item x="31"/>
        <item x="118"/>
        <item x="33"/>
        <item x="34"/>
        <item x="116"/>
        <item x="40"/>
        <item x="159"/>
        <item x="296"/>
        <item x="211"/>
        <item x="254"/>
        <item x="133"/>
        <item x="178"/>
        <item x="239"/>
        <item x="298"/>
        <item x="120"/>
        <item x="125"/>
        <item x="29"/>
        <item x="21"/>
        <item x="171"/>
        <item x="274"/>
        <item x="79"/>
        <item x="325"/>
        <item x="286"/>
        <item x="262"/>
        <item x="90"/>
        <item x="64"/>
        <item x="9"/>
        <item x="255"/>
        <item x="240"/>
        <item x="264"/>
        <item x="43"/>
        <item x="1"/>
        <item x="16"/>
        <item x="123"/>
        <item x="75"/>
        <item x="297"/>
        <item x="19"/>
        <item x="47"/>
        <item x="195"/>
        <item x="215"/>
        <item x="107"/>
        <item x="115"/>
        <item x="165"/>
        <item x="103"/>
        <item x="299"/>
        <item x="219"/>
        <item x="198"/>
        <item x="54"/>
        <item x="106"/>
        <item x="238"/>
        <item x="250"/>
        <item x="308"/>
        <item x="42"/>
        <item x="46"/>
        <item x="146"/>
        <item x="202"/>
        <item x="247"/>
        <item x="119"/>
        <item x="14"/>
        <item x="278"/>
        <item x="205"/>
        <item x="147"/>
        <item x="256"/>
        <item x="26"/>
        <item x="223"/>
        <item x="236"/>
        <item x="173"/>
        <item x="67"/>
        <item x="180"/>
        <item x="327"/>
        <item x="12"/>
        <item x="259"/>
        <item x="200"/>
        <item x="27"/>
        <item x="53"/>
        <item x="290"/>
        <item x="261"/>
        <item x="279"/>
        <item x="233"/>
        <item x="38"/>
        <item x="122"/>
        <item x="68"/>
        <item x="324"/>
        <item x="121"/>
        <item x="39"/>
        <item x="209"/>
        <item x="59"/>
        <item x="321"/>
        <item x="210"/>
        <item x="129"/>
        <item x="227"/>
        <item x="295"/>
        <item x="166"/>
        <item x="71"/>
        <item x="130"/>
        <item x="323"/>
        <item x="320"/>
        <item x="311"/>
        <item x="263"/>
        <item x="100"/>
        <item x="49"/>
        <item x="152"/>
        <item x="305"/>
        <item x="221"/>
        <item x="45"/>
        <item x="315"/>
        <item x="37"/>
        <item x="156"/>
        <item x="63"/>
        <item x="167"/>
        <item x="242"/>
        <item x="143"/>
        <item x="149"/>
        <item x="151"/>
        <item x="185"/>
        <item x="136"/>
        <item x="172"/>
        <item x="70"/>
        <item x="281"/>
        <item x="310"/>
        <item x="291"/>
        <item x="267"/>
        <item x="212"/>
        <item x="66"/>
        <item x="294"/>
        <item x="0"/>
        <item x="187"/>
        <item x="92"/>
        <item x="150"/>
        <item x="32"/>
        <item x="322"/>
        <item x="35"/>
        <item x="74"/>
        <item x="82"/>
        <item x="313"/>
        <item x="201"/>
        <item x="109"/>
        <item x="138"/>
        <item x="88"/>
        <item x="164"/>
        <item x="317"/>
        <item x="22"/>
        <item x="226"/>
        <item x="80"/>
        <item x="230"/>
        <item x="77"/>
        <item x="301"/>
        <item x="52"/>
        <item x="258"/>
        <item x="265"/>
        <item x="292"/>
        <item x="232"/>
        <item x="97"/>
        <item x="266"/>
        <item x="3"/>
        <item x="85"/>
        <item x="76"/>
        <item x="62"/>
        <item x="193"/>
        <item x="207"/>
        <item x="83"/>
        <item x="197"/>
        <item x="112"/>
        <item x="61"/>
        <item x="328"/>
        <item x="283"/>
        <item x="141"/>
        <item x="222"/>
        <item x="25"/>
        <item x="104"/>
        <item x="89"/>
        <item x="65"/>
        <item x="60"/>
        <item x="28"/>
        <item x="137"/>
        <item x="108"/>
        <item x="245"/>
        <item x="175"/>
        <item x="163"/>
        <item x="36"/>
        <item x="50"/>
        <item x="111"/>
        <item x="58"/>
        <item x="182"/>
        <item x="158"/>
        <item x="188"/>
        <item x="231"/>
        <item x="110"/>
        <item x="199"/>
        <item x="139"/>
        <item x="309"/>
        <item x="170"/>
        <item x="126"/>
        <item x="8"/>
        <item x="318"/>
        <item x="132"/>
        <item x="98"/>
        <item x="225"/>
        <item t="default"/>
      </items>
    </pivotField>
    <pivotField numFmtId="14" showAll="0"/>
    <pivotField showAll="0">
      <items count="330">
        <item x="153"/>
        <item x="309"/>
        <item x="188"/>
        <item x="231"/>
        <item x="239"/>
        <item x="218"/>
        <item x="70"/>
        <item x="132"/>
        <item x="83"/>
        <item x="267"/>
        <item x="122"/>
        <item x="40"/>
        <item x="141"/>
        <item x="107"/>
        <item x="328"/>
        <item x="9"/>
        <item x="80"/>
        <item x="94"/>
        <item x="63"/>
        <item x="148"/>
        <item x="55"/>
        <item x="294"/>
        <item x="250"/>
        <item x="234"/>
        <item x="125"/>
        <item x="263"/>
        <item x="282"/>
        <item x="173"/>
        <item x="175"/>
        <item x="214"/>
        <item x="68"/>
        <item x="311"/>
        <item x="279"/>
        <item x="190"/>
        <item x="12"/>
        <item x="293"/>
        <item x="193"/>
        <item x="91"/>
        <item x="266"/>
        <item x="42"/>
        <item x="98"/>
        <item x="110"/>
        <item x="154"/>
        <item x="215"/>
        <item x="316"/>
        <item x="177"/>
        <item x="235"/>
        <item x="104"/>
        <item x="260"/>
        <item x="10"/>
        <item x="16"/>
        <item x="30"/>
        <item x="74"/>
        <item x="224"/>
        <item x="89"/>
        <item x="226"/>
        <item x="17"/>
        <item x="166"/>
        <item x="34"/>
        <item x="296"/>
        <item x="264"/>
        <item x="312"/>
        <item x="205"/>
        <item x="65"/>
        <item x="198"/>
        <item x="115"/>
        <item x="5"/>
        <item x="51"/>
        <item x="180"/>
        <item x="257"/>
        <item x="228"/>
        <item x="308"/>
        <item x="274"/>
        <item x="203"/>
        <item x="275"/>
        <item x="111"/>
        <item x="14"/>
        <item x="155"/>
        <item x="217"/>
        <item x="174"/>
        <item x="238"/>
        <item x="241"/>
        <item x="46"/>
        <item x="39"/>
        <item x="237"/>
        <item x="201"/>
        <item x="255"/>
        <item x="129"/>
        <item x="135"/>
        <item x="171"/>
        <item x="243"/>
        <item x="251"/>
        <item x="156"/>
        <item x="270"/>
        <item x="138"/>
        <item x="4"/>
        <item x="194"/>
        <item x="161"/>
        <item x="317"/>
        <item x="84"/>
        <item x="2"/>
        <item x="240"/>
        <item x="139"/>
        <item x="271"/>
        <item x="87"/>
        <item x="320"/>
        <item x="77"/>
        <item x="210"/>
        <item x="295"/>
        <item x="164"/>
        <item x="284"/>
        <item x="117"/>
        <item x="233"/>
        <item x="152"/>
        <item x="54"/>
        <item x="7"/>
        <item x="200"/>
        <item x="183"/>
        <item x="159"/>
        <item x="223"/>
        <item x="207"/>
        <item x="47"/>
        <item x="247"/>
        <item x="18"/>
        <item x="140"/>
        <item x="21"/>
        <item x="304"/>
        <item x="22"/>
        <item x="272"/>
        <item x="289"/>
        <item x="32"/>
        <item x="222"/>
        <item x="220"/>
        <item x="62"/>
        <item x="321"/>
        <item x="302"/>
        <item x="176"/>
        <item x="258"/>
        <item x="192"/>
        <item x="76"/>
        <item x="206"/>
        <item x="158"/>
        <item x="229"/>
        <item x="252"/>
        <item x="19"/>
        <item x="86"/>
        <item x="191"/>
        <item x="265"/>
        <item x="28"/>
        <item x="315"/>
        <item x="288"/>
        <item x="118"/>
        <item x="131"/>
        <item x="45"/>
        <item x="169"/>
        <item x="208"/>
        <item x="292"/>
        <item x="145"/>
        <item x="29"/>
        <item x="325"/>
        <item x="253"/>
        <item x="72"/>
        <item x="106"/>
        <item x="300"/>
        <item x="313"/>
        <item x="276"/>
        <item x="99"/>
        <item x="324"/>
        <item x="61"/>
        <item x="170"/>
        <item x="1"/>
        <item x="121"/>
        <item x="305"/>
        <item x="163"/>
        <item x="151"/>
        <item x="15"/>
        <item x="116"/>
        <item x="41"/>
        <item x="100"/>
        <item x="123"/>
        <item x="44"/>
        <item x="143"/>
        <item x="246"/>
        <item x="287"/>
        <item x="144"/>
        <item x="13"/>
        <item x="254"/>
        <item x="113"/>
        <item x="197"/>
        <item x="179"/>
        <item x="326"/>
        <item x="280"/>
        <item x="105"/>
        <item x="101"/>
        <item x="261"/>
        <item x="213"/>
        <item x="269"/>
        <item x="249"/>
        <item x="307"/>
        <item x="182"/>
        <item x="24"/>
        <item x="178"/>
        <item x="11"/>
        <item x="119"/>
        <item x="327"/>
        <item x="299"/>
        <item x="38"/>
        <item x="53"/>
        <item x="58"/>
        <item x="90"/>
        <item x="37"/>
        <item x="303"/>
        <item x="64"/>
        <item x="49"/>
        <item x="221"/>
        <item x="225"/>
        <item x="26"/>
        <item x="127"/>
        <item x="189"/>
        <item x="301"/>
        <item x="262"/>
        <item x="209"/>
        <item x="95"/>
        <item x="242"/>
        <item x="67"/>
        <item x="314"/>
        <item x="150"/>
        <item x="248"/>
        <item x="277"/>
        <item x="36"/>
        <item x="212"/>
        <item x="204"/>
        <item x="142"/>
        <item x="103"/>
        <item x="160"/>
        <item x="75"/>
        <item x="126"/>
        <item x="319"/>
        <item x="128"/>
        <item x="137"/>
        <item x="43"/>
        <item x="219"/>
        <item x="298"/>
        <item x="66"/>
        <item x="133"/>
        <item x="172"/>
        <item x="186"/>
        <item x="25"/>
        <item x="147"/>
        <item x="93"/>
        <item x="79"/>
        <item x="290"/>
        <item x="310"/>
        <item x="0"/>
        <item x="88"/>
        <item x="33"/>
        <item x="256"/>
        <item x="57"/>
        <item x="259"/>
        <item x="297"/>
        <item x="322"/>
        <item x="31"/>
        <item x="81"/>
        <item x="196"/>
        <item x="278"/>
        <item x="146"/>
        <item x="71"/>
        <item x="20"/>
        <item x="134"/>
        <item x="85"/>
        <item x="3"/>
        <item x="112"/>
        <item x="78"/>
        <item x="281"/>
        <item x="52"/>
        <item x="230"/>
        <item x="291"/>
        <item x="184"/>
        <item x="102"/>
        <item x="136"/>
        <item x="162"/>
        <item x="157"/>
        <item x="187"/>
        <item x="149"/>
        <item x="97"/>
        <item x="244"/>
        <item x="199"/>
        <item x="120"/>
        <item x="82"/>
        <item x="35"/>
        <item x="96"/>
        <item x="59"/>
        <item x="227"/>
        <item x="232"/>
        <item x="306"/>
        <item x="50"/>
        <item x="60"/>
        <item x="165"/>
        <item x="202"/>
        <item x="167"/>
        <item x="73"/>
        <item x="285"/>
        <item x="108"/>
        <item x="211"/>
        <item x="48"/>
        <item x="114"/>
        <item x="69"/>
        <item x="23"/>
        <item x="56"/>
        <item x="283"/>
        <item x="109"/>
        <item x="236"/>
        <item x="323"/>
        <item x="318"/>
        <item x="168"/>
        <item x="268"/>
        <item x="195"/>
        <item x="185"/>
        <item x="130"/>
        <item x="286"/>
        <item x="124"/>
        <item x="216"/>
        <item x="27"/>
        <item x="8"/>
        <item x="273"/>
        <item x="245"/>
        <item x="181"/>
        <item x="92"/>
        <item x="6"/>
        <item t="default"/>
      </items>
    </pivotField>
    <pivotField showAll="0">
      <items count="134">
        <item x="79"/>
        <item x="121"/>
        <item x="116"/>
        <item x="123"/>
        <item x="86"/>
        <item x="126"/>
        <item x="114"/>
        <item x="57"/>
        <item x="50"/>
        <item x="83"/>
        <item x="13"/>
        <item x="122"/>
        <item x="37"/>
        <item x="18"/>
        <item x="23"/>
        <item x="87"/>
        <item x="6"/>
        <item x="105"/>
        <item x="70"/>
        <item x="45"/>
        <item x="73"/>
        <item x="16"/>
        <item x="38"/>
        <item x="52"/>
        <item x="93"/>
        <item x="40"/>
        <item x="101"/>
        <item x="53"/>
        <item x="7"/>
        <item x="64"/>
        <item x="74"/>
        <item x="112"/>
        <item x="48"/>
        <item x="113"/>
        <item x="106"/>
        <item x="124"/>
        <item x="97"/>
        <item x="24"/>
        <item x="42"/>
        <item x="68"/>
        <item x="84"/>
        <item x="58"/>
        <item x="67"/>
        <item x="22"/>
        <item x="104"/>
        <item x="39"/>
        <item x="17"/>
        <item x="26"/>
        <item x="81"/>
        <item x="75"/>
        <item x="89"/>
        <item x="120"/>
        <item x="60"/>
        <item x="85"/>
        <item x="82"/>
        <item x="36"/>
        <item x="128"/>
        <item x="28"/>
        <item x="4"/>
        <item x="54"/>
        <item x="108"/>
        <item x="90"/>
        <item x="98"/>
        <item x="8"/>
        <item x="25"/>
        <item x="47"/>
        <item x="31"/>
        <item x="110"/>
        <item x="20"/>
        <item x="33"/>
        <item x="1"/>
        <item x="107"/>
        <item x="78"/>
        <item x="118"/>
        <item x="61"/>
        <item x="49"/>
        <item x="94"/>
        <item x="65"/>
        <item x="43"/>
        <item x="5"/>
        <item x="30"/>
        <item x="99"/>
        <item x="62"/>
        <item x="77"/>
        <item x="80"/>
        <item x="100"/>
        <item x="95"/>
        <item x="91"/>
        <item x="72"/>
        <item x="34"/>
        <item x="119"/>
        <item x="14"/>
        <item x="131"/>
        <item x="96"/>
        <item x="32"/>
        <item x="15"/>
        <item x="27"/>
        <item x="127"/>
        <item x="21"/>
        <item x="92"/>
        <item x="46"/>
        <item x="9"/>
        <item x="63"/>
        <item x="103"/>
        <item x="51"/>
        <item x="55"/>
        <item x="125"/>
        <item x="111"/>
        <item x="41"/>
        <item x="29"/>
        <item x="130"/>
        <item x="19"/>
        <item x="129"/>
        <item x="11"/>
        <item x="35"/>
        <item x="56"/>
        <item x="12"/>
        <item x="59"/>
        <item x="69"/>
        <item x="66"/>
        <item x="109"/>
        <item x="132"/>
        <item x="115"/>
        <item x="76"/>
        <item x="117"/>
        <item x="71"/>
        <item x="10"/>
        <item x="44"/>
        <item x="102"/>
        <item x="2"/>
        <item x="88"/>
        <item x="3"/>
        <item x="0"/>
        <item t="default"/>
      </items>
    </pivotField>
    <pivotField dataField="1" numFmtId="165" showAll="0"/>
    <pivotField dataField="1" numFmtId="165" showAll="0"/>
    <pivotField numFmtId="165" showAll="0"/>
    <pivotField showAll="0"/>
    <pivotField showAll="0"/>
    <pivotField showAll="0"/>
    <pivotField dataField="1" numFmtId="165" showAll="0"/>
    <pivotField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3">
    <field x="18"/>
    <field x="17"/>
    <field x="5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oma de orcamento_aprovado" fld="9" baseField="0" baseItem="0" numFmtId="165"/>
    <dataField name="Soma de custo_real_acumulado" fld="10" baseField="0" baseItem="0" numFmtId="165"/>
    <dataField name="Soma de Saldo" fld="15" baseField="0" baseItem="0" numFmtId="165"/>
  </dataFields>
  <chartFormats count="3">
    <chartFormat chart="11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337BAA-7C0A-4C25-92B8-43FA133C91C9}" name="Tabela dinâmica7" cacheId="18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27:A28" firstHeaderRow="1" firstDataRow="1" firstDataCol="0"/>
  <pivotFields count="23">
    <pivotField showAll="0"/>
    <pivotField showAll="0"/>
    <pivotField showAll="0"/>
    <pivotField showAll="0">
      <items count="11">
        <item x="4"/>
        <item h="1" x="5"/>
        <item h="1" x="1"/>
        <item h="1" x="6"/>
        <item h="1" x="2"/>
        <item h="1" x="7"/>
        <item h="1" x="3"/>
        <item h="1" x="0"/>
        <item h="1" x="8"/>
        <item h="1" x="9"/>
        <item t="default"/>
      </items>
    </pivotField>
    <pivotField showAll="0"/>
    <pivotField numFmtId="14" showAll="0">
      <items count="331">
        <item x="194"/>
        <item x="41"/>
        <item x="235"/>
        <item x="154"/>
        <item x="144"/>
        <item x="189"/>
        <item x="268"/>
        <item x="300"/>
        <item x="203"/>
        <item x="304"/>
        <item x="135"/>
        <item x="314"/>
        <item x="302"/>
        <item x="102"/>
        <item x="134"/>
        <item x="243"/>
        <item x="73"/>
        <item x="99"/>
        <item x="260"/>
        <item x="244"/>
        <item x="206"/>
        <item x="252"/>
        <item x="96"/>
        <item x="81"/>
        <item x="249"/>
        <item x="57"/>
        <item x="10"/>
        <item x="124"/>
        <item x="176"/>
        <item x="84"/>
        <item x="277"/>
        <item x="190"/>
        <item x="13"/>
        <item x="162"/>
        <item x="155"/>
        <item x="273"/>
        <item x="127"/>
        <item x="270"/>
        <item x="272"/>
        <item x="95"/>
        <item x="72"/>
        <item x="269"/>
        <item x="30"/>
        <item x="280"/>
        <item x="224"/>
        <item x="179"/>
        <item x="287"/>
        <item x="192"/>
        <item x="11"/>
        <item x="44"/>
        <item x="191"/>
        <item x="275"/>
        <item x="177"/>
        <item x="289"/>
        <item x="69"/>
        <item x="17"/>
        <item x="105"/>
        <item x="93"/>
        <item x="218"/>
        <item x="168"/>
        <item x="276"/>
        <item x="78"/>
        <item x="169"/>
        <item x="51"/>
        <item x="113"/>
        <item x="237"/>
        <item x="181"/>
        <item x="117"/>
        <item x="196"/>
        <item x="56"/>
        <item x="86"/>
        <item x="214"/>
        <item x="229"/>
        <item x="114"/>
        <item x="5"/>
        <item x="18"/>
        <item x="15"/>
        <item x="234"/>
        <item x="174"/>
        <item x="213"/>
        <item x="306"/>
        <item x="145"/>
        <item x="142"/>
        <item x="248"/>
        <item x="326"/>
        <item x="48"/>
        <item x="246"/>
        <item x="312"/>
        <item x="186"/>
        <item x="284"/>
        <item x="157"/>
        <item x="316"/>
        <item x="217"/>
        <item x="293"/>
        <item x="2"/>
        <item x="140"/>
        <item x="303"/>
        <item x="288"/>
        <item x="131"/>
        <item x="257"/>
        <item x="128"/>
        <item x="161"/>
        <item x="4"/>
        <item x="285"/>
        <item x="319"/>
        <item x="94"/>
        <item x="271"/>
        <item x="148"/>
        <item x="55"/>
        <item x="87"/>
        <item x="183"/>
        <item x="208"/>
        <item x="160"/>
        <item x="220"/>
        <item x="91"/>
        <item x="282"/>
        <item x="7"/>
        <item x="253"/>
        <item x="204"/>
        <item x="23"/>
        <item x="251"/>
        <item x="24"/>
        <item x="241"/>
        <item x="307"/>
        <item x="153"/>
        <item x="6"/>
        <item x="20"/>
        <item x="101"/>
        <item x="329"/>
        <item x="216"/>
        <item x="228"/>
        <item x="184"/>
        <item x="31"/>
        <item x="118"/>
        <item x="33"/>
        <item x="34"/>
        <item x="116"/>
        <item x="40"/>
        <item x="159"/>
        <item x="296"/>
        <item x="211"/>
        <item x="254"/>
        <item x="133"/>
        <item x="178"/>
        <item x="239"/>
        <item x="298"/>
        <item x="120"/>
        <item x="125"/>
        <item x="29"/>
        <item x="21"/>
        <item x="171"/>
        <item x="274"/>
        <item x="79"/>
        <item x="325"/>
        <item x="286"/>
        <item x="262"/>
        <item x="90"/>
        <item x="64"/>
        <item x="9"/>
        <item x="255"/>
        <item x="240"/>
        <item x="264"/>
        <item x="43"/>
        <item x="1"/>
        <item x="16"/>
        <item x="123"/>
        <item x="75"/>
        <item x="297"/>
        <item x="19"/>
        <item x="47"/>
        <item x="195"/>
        <item x="215"/>
        <item x="107"/>
        <item x="115"/>
        <item x="165"/>
        <item x="103"/>
        <item x="299"/>
        <item x="219"/>
        <item x="198"/>
        <item x="54"/>
        <item x="106"/>
        <item x="238"/>
        <item x="250"/>
        <item x="308"/>
        <item x="42"/>
        <item x="46"/>
        <item x="146"/>
        <item x="202"/>
        <item x="247"/>
        <item x="119"/>
        <item x="14"/>
        <item x="278"/>
        <item x="205"/>
        <item x="147"/>
        <item x="256"/>
        <item x="26"/>
        <item x="223"/>
        <item x="236"/>
        <item x="173"/>
        <item x="67"/>
        <item x="180"/>
        <item x="327"/>
        <item x="12"/>
        <item x="259"/>
        <item x="200"/>
        <item x="27"/>
        <item x="53"/>
        <item x="290"/>
        <item x="261"/>
        <item x="279"/>
        <item x="233"/>
        <item x="38"/>
        <item x="122"/>
        <item x="68"/>
        <item x="324"/>
        <item x="121"/>
        <item x="39"/>
        <item x="209"/>
        <item x="59"/>
        <item x="321"/>
        <item x="210"/>
        <item x="129"/>
        <item x="227"/>
        <item x="295"/>
        <item x="166"/>
        <item x="71"/>
        <item x="130"/>
        <item x="323"/>
        <item x="320"/>
        <item x="311"/>
        <item x="263"/>
        <item x="100"/>
        <item x="49"/>
        <item x="152"/>
        <item x="305"/>
        <item x="221"/>
        <item x="45"/>
        <item x="315"/>
        <item x="37"/>
        <item x="156"/>
        <item x="63"/>
        <item x="167"/>
        <item x="242"/>
        <item x="143"/>
        <item x="149"/>
        <item x="151"/>
        <item x="185"/>
        <item x="136"/>
        <item x="172"/>
        <item x="70"/>
        <item x="281"/>
        <item x="310"/>
        <item x="291"/>
        <item x="267"/>
        <item x="212"/>
        <item x="66"/>
        <item x="294"/>
        <item x="0"/>
        <item x="187"/>
        <item x="92"/>
        <item x="150"/>
        <item x="32"/>
        <item x="322"/>
        <item x="35"/>
        <item x="74"/>
        <item x="82"/>
        <item x="313"/>
        <item x="201"/>
        <item x="109"/>
        <item x="138"/>
        <item x="88"/>
        <item x="164"/>
        <item x="317"/>
        <item x="22"/>
        <item x="226"/>
        <item x="80"/>
        <item x="230"/>
        <item x="77"/>
        <item x="301"/>
        <item x="52"/>
        <item x="258"/>
        <item x="265"/>
        <item x="292"/>
        <item x="232"/>
        <item x="97"/>
        <item x="266"/>
        <item x="3"/>
        <item x="85"/>
        <item x="76"/>
        <item x="62"/>
        <item x="193"/>
        <item x="207"/>
        <item x="83"/>
        <item x="197"/>
        <item x="112"/>
        <item x="61"/>
        <item x="328"/>
        <item x="283"/>
        <item x="141"/>
        <item x="222"/>
        <item x="25"/>
        <item x="104"/>
        <item x="89"/>
        <item x="65"/>
        <item x="60"/>
        <item x="28"/>
        <item x="137"/>
        <item x="108"/>
        <item x="245"/>
        <item x="175"/>
        <item x="163"/>
        <item x="36"/>
        <item x="50"/>
        <item x="111"/>
        <item x="58"/>
        <item x="182"/>
        <item x="158"/>
        <item x="188"/>
        <item x="231"/>
        <item x="110"/>
        <item x="199"/>
        <item x="139"/>
        <item x="309"/>
        <item x="170"/>
        <item x="126"/>
        <item x="8"/>
        <item x="318"/>
        <item x="132"/>
        <item x="98"/>
        <item x="225"/>
        <item t="default"/>
      </items>
    </pivotField>
    <pivotField numFmtId="14" showAll="0"/>
    <pivotField showAll="0">
      <items count="330">
        <item x="153"/>
        <item x="309"/>
        <item x="188"/>
        <item x="231"/>
        <item x="239"/>
        <item x="218"/>
        <item x="70"/>
        <item x="132"/>
        <item x="83"/>
        <item x="267"/>
        <item x="122"/>
        <item x="40"/>
        <item x="141"/>
        <item x="107"/>
        <item x="328"/>
        <item x="9"/>
        <item x="80"/>
        <item x="94"/>
        <item x="63"/>
        <item x="148"/>
        <item x="55"/>
        <item x="294"/>
        <item x="250"/>
        <item x="234"/>
        <item x="125"/>
        <item x="263"/>
        <item x="282"/>
        <item x="173"/>
        <item x="175"/>
        <item x="214"/>
        <item x="68"/>
        <item x="311"/>
        <item x="279"/>
        <item x="190"/>
        <item x="12"/>
        <item x="293"/>
        <item x="193"/>
        <item x="91"/>
        <item x="266"/>
        <item x="42"/>
        <item x="98"/>
        <item x="110"/>
        <item x="154"/>
        <item x="215"/>
        <item x="316"/>
        <item x="177"/>
        <item x="235"/>
        <item x="104"/>
        <item x="260"/>
        <item x="10"/>
        <item x="16"/>
        <item x="30"/>
        <item x="74"/>
        <item x="224"/>
        <item x="89"/>
        <item x="226"/>
        <item x="17"/>
        <item x="166"/>
        <item x="34"/>
        <item x="296"/>
        <item x="264"/>
        <item x="312"/>
        <item x="205"/>
        <item x="65"/>
        <item x="198"/>
        <item x="115"/>
        <item x="5"/>
        <item x="51"/>
        <item x="180"/>
        <item x="257"/>
        <item x="228"/>
        <item x="308"/>
        <item x="274"/>
        <item x="203"/>
        <item x="275"/>
        <item x="111"/>
        <item x="14"/>
        <item x="155"/>
        <item x="217"/>
        <item x="174"/>
        <item x="238"/>
        <item x="241"/>
        <item x="46"/>
        <item x="39"/>
        <item x="237"/>
        <item x="201"/>
        <item x="255"/>
        <item x="129"/>
        <item x="135"/>
        <item x="171"/>
        <item x="243"/>
        <item x="251"/>
        <item x="156"/>
        <item x="270"/>
        <item x="138"/>
        <item x="4"/>
        <item x="194"/>
        <item x="161"/>
        <item x="317"/>
        <item x="84"/>
        <item x="2"/>
        <item x="240"/>
        <item x="139"/>
        <item x="271"/>
        <item x="87"/>
        <item x="320"/>
        <item x="77"/>
        <item x="210"/>
        <item x="295"/>
        <item x="164"/>
        <item x="284"/>
        <item x="117"/>
        <item x="233"/>
        <item x="152"/>
        <item x="54"/>
        <item x="7"/>
        <item x="200"/>
        <item x="183"/>
        <item x="159"/>
        <item x="223"/>
        <item x="207"/>
        <item x="47"/>
        <item x="247"/>
        <item x="18"/>
        <item x="140"/>
        <item x="21"/>
        <item x="304"/>
        <item x="22"/>
        <item x="272"/>
        <item x="289"/>
        <item x="32"/>
        <item x="222"/>
        <item x="220"/>
        <item x="62"/>
        <item x="321"/>
        <item x="302"/>
        <item x="176"/>
        <item x="258"/>
        <item x="192"/>
        <item x="76"/>
        <item x="206"/>
        <item x="158"/>
        <item x="229"/>
        <item x="252"/>
        <item x="19"/>
        <item x="86"/>
        <item x="191"/>
        <item x="265"/>
        <item x="28"/>
        <item x="315"/>
        <item x="288"/>
        <item x="118"/>
        <item x="131"/>
        <item x="45"/>
        <item x="169"/>
        <item x="208"/>
        <item x="292"/>
        <item x="145"/>
        <item x="29"/>
        <item x="325"/>
        <item x="253"/>
        <item x="72"/>
        <item x="106"/>
        <item x="300"/>
        <item x="313"/>
        <item x="276"/>
        <item x="99"/>
        <item x="324"/>
        <item x="61"/>
        <item x="170"/>
        <item x="1"/>
        <item x="121"/>
        <item x="305"/>
        <item x="163"/>
        <item x="151"/>
        <item x="15"/>
        <item x="116"/>
        <item x="41"/>
        <item x="100"/>
        <item x="123"/>
        <item x="44"/>
        <item x="143"/>
        <item x="246"/>
        <item x="287"/>
        <item x="144"/>
        <item x="13"/>
        <item x="254"/>
        <item x="113"/>
        <item x="197"/>
        <item x="179"/>
        <item x="326"/>
        <item x="280"/>
        <item x="105"/>
        <item x="101"/>
        <item x="261"/>
        <item x="213"/>
        <item x="269"/>
        <item x="249"/>
        <item x="307"/>
        <item x="182"/>
        <item x="24"/>
        <item x="178"/>
        <item x="11"/>
        <item x="119"/>
        <item x="327"/>
        <item x="299"/>
        <item x="38"/>
        <item x="53"/>
        <item x="58"/>
        <item x="90"/>
        <item x="37"/>
        <item x="303"/>
        <item x="64"/>
        <item x="49"/>
        <item x="221"/>
        <item x="225"/>
        <item x="26"/>
        <item x="127"/>
        <item x="189"/>
        <item x="301"/>
        <item x="262"/>
        <item x="209"/>
        <item x="95"/>
        <item x="242"/>
        <item x="67"/>
        <item x="314"/>
        <item x="150"/>
        <item x="248"/>
        <item x="277"/>
        <item x="36"/>
        <item x="212"/>
        <item x="204"/>
        <item x="142"/>
        <item x="103"/>
        <item x="160"/>
        <item x="75"/>
        <item x="126"/>
        <item x="319"/>
        <item x="128"/>
        <item x="137"/>
        <item x="43"/>
        <item x="219"/>
        <item x="298"/>
        <item x="66"/>
        <item x="133"/>
        <item x="172"/>
        <item x="186"/>
        <item x="25"/>
        <item x="147"/>
        <item x="93"/>
        <item x="79"/>
        <item x="290"/>
        <item x="310"/>
        <item x="0"/>
        <item x="88"/>
        <item x="33"/>
        <item x="256"/>
        <item x="57"/>
        <item x="259"/>
        <item x="297"/>
        <item x="322"/>
        <item x="31"/>
        <item x="81"/>
        <item x="196"/>
        <item x="278"/>
        <item x="146"/>
        <item x="71"/>
        <item x="20"/>
        <item x="134"/>
        <item x="85"/>
        <item x="3"/>
        <item x="112"/>
        <item x="78"/>
        <item x="281"/>
        <item x="52"/>
        <item x="230"/>
        <item x="291"/>
        <item x="184"/>
        <item x="102"/>
        <item x="136"/>
        <item x="162"/>
        <item x="157"/>
        <item x="187"/>
        <item x="149"/>
        <item x="97"/>
        <item x="244"/>
        <item x="199"/>
        <item x="120"/>
        <item x="82"/>
        <item x="35"/>
        <item x="96"/>
        <item x="59"/>
        <item x="227"/>
        <item x="232"/>
        <item x="306"/>
        <item x="50"/>
        <item x="60"/>
        <item x="165"/>
        <item x="202"/>
        <item x="167"/>
        <item x="73"/>
        <item x="285"/>
        <item x="108"/>
        <item x="211"/>
        <item x="48"/>
        <item x="114"/>
        <item x="69"/>
        <item x="23"/>
        <item x="56"/>
        <item x="283"/>
        <item x="109"/>
        <item x="236"/>
        <item x="323"/>
        <item x="318"/>
        <item x="168"/>
        <item x="268"/>
        <item x="195"/>
        <item x="185"/>
        <item x="130"/>
        <item x="286"/>
        <item x="124"/>
        <item x="216"/>
        <item x="27"/>
        <item x="8"/>
        <item x="273"/>
        <item x="245"/>
        <item x="181"/>
        <item x="92"/>
        <item x="6"/>
        <item t="default"/>
      </items>
    </pivotField>
    <pivotField showAll="0">
      <items count="134">
        <item x="79"/>
        <item x="121"/>
        <item x="116"/>
        <item x="123"/>
        <item x="86"/>
        <item x="126"/>
        <item x="114"/>
        <item x="57"/>
        <item x="50"/>
        <item x="83"/>
        <item x="13"/>
        <item x="122"/>
        <item x="37"/>
        <item x="18"/>
        <item x="23"/>
        <item x="87"/>
        <item x="6"/>
        <item x="105"/>
        <item x="70"/>
        <item x="45"/>
        <item x="73"/>
        <item x="16"/>
        <item x="38"/>
        <item x="52"/>
        <item x="93"/>
        <item x="40"/>
        <item x="101"/>
        <item x="53"/>
        <item x="7"/>
        <item x="64"/>
        <item x="74"/>
        <item x="112"/>
        <item x="48"/>
        <item x="113"/>
        <item x="106"/>
        <item x="124"/>
        <item x="97"/>
        <item x="24"/>
        <item x="42"/>
        <item x="68"/>
        <item x="84"/>
        <item x="58"/>
        <item x="67"/>
        <item x="22"/>
        <item x="104"/>
        <item x="39"/>
        <item x="17"/>
        <item x="26"/>
        <item x="81"/>
        <item x="75"/>
        <item x="89"/>
        <item x="120"/>
        <item x="60"/>
        <item x="85"/>
        <item x="82"/>
        <item x="36"/>
        <item x="128"/>
        <item x="28"/>
        <item x="4"/>
        <item x="54"/>
        <item x="108"/>
        <item x="90"/>
        <item x="98"/>
        <item x="8"/>
        <item x="25"/>
        <item x="47"/>
        <item x="31"/>
        <item x="110"/>
        <item x="20"/>
        <item x="33"/>
        <item x="1"/>
        <item x="107"/>
        <item x="78"/>
        <item x="118"/>
        <item x="61"/>
        <item x="49"/>
        <item x="94"/>
        <item x="65"/>
        <item x="43"/>
        <item x="5"/>
        <item x="30"/>
        <item x="99"/>
        <item x="62"/>
        <item x="77"/>
        <item x="80"/>
        <item x="100"/>
        <item x="95"/>
        <item x="91"/>
        <item x="72"/>
        <item x="34"/>
        <item x="119"/>
        <item x="14"/>
        <item x="131"/>
        <item x="96"/>
        <item x="32"/>
        <item x="15"/>
        <item x="27"/>
        <item x="127"/>
        <item x="21"/>
        <item x="92"/>
        <item x="46"/>
        <item x="9"/>
        <item x="63"/>
        <item x="103"/>
        <item x="51"/>
        <item x="55"/>
        <item x="125"/>
        <item x="111"/>
        <item x="41"/>
        <item x="29"/>
        <item x="130"/>
        <item x="19"/>
        <item x="129"/>
        <item x="11"/>
        <item x="35"/>
        <item x="56"/>
        <item x="12"/>
        <item x="59"/>
        <item x="69"/>
        <item x="66"/>
        <item x="109"/>
        <item x="132"/>
        <item x="115"/>
        <item x="76"/>
        <item x="117"/>
        <item x="71"/>
        <item x="10"/>
        <item x="44"/>
        <item x="102"/>
        <item x="2"/>
        <item x="88"/>
        <item x="3"/>
        <item x="0"/>
        <item t="default"/>
      </items>
    </pivotField>
    <pivotField numFmtId="165" showAll="0"/>
    <pivotField numFmtId="165" showAll="0"/>
    <pivotField dataField="1" numFmtId="165" showAll="0"/>
    <pivotField showAll="0"/>
    <pivotField showAll="0"/>
    <pivotField showAll="0"/>
    <pivotField numFmtId="165"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Items count="1">
    <i/>
  </colItems>
  <dataFields count="1">
    <dataField name="Soma de beneficio_esperado_anual" fld="11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DAC1FF-D82B-48DF-846A-AD1D6F6397F1}" name="Tabela dinâmica5" cacheId="18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19:A20" firstHeaderRow="1" firstDataRow="1" firstDataCol="0"/>
  <pivotFields count="23">
    <pivotField showAll="0"/>
    <pivotField showAll="0"/>
    <pivotField showAll="0"/>
    <pivotField showAll="0">
      <items count="11">
        <item x="4"/>
        <item h="1" x="5"/>
        <item h="1" x="1"/>
        <item h="1" x="6"/>
        <item h="1" x="2"/>
        <item h="1" x="7"/>
        <item h="1" x="3"/>
        <item h="1" x="0"/>
        <item h="1" x="8"/>
        <item h="1" x="9"/>
        <item t="default"/>
      </items>
    </pivotField>
    <pivotField showAll="0"/>
    <pivotField numFmtId="14" showAll="0">
      <items count="331">
        <item x="194"/>
        <item x="41"/>
        <item x="235"/>
        <item x="154"/>
        <item x="144"/>
        <item x="189"/>
        <item x="268"/>
        <item x="300"/>
        <item x="203"/>
        <item x="304"/>
        <item x="135"/>
        <item x="314"/>
        <item x="302"/>
        <item x="102"/>
        <item x="134"/>
        <item x="243"/>
        <item x="73"/>
        <item x="99"/>
        <item x="260"/>
        <item x="244"/>
        <item x="206"/>
        <item x="252"/>
        <item x="96"/>
        <item x="81"/>
        <item x="249"/>
        <item x="57"/>
        <item x="10"/>
        <item x="124"/>
        <item x="176"/>
        <item x="84"/>
        <item x="277"/>
        <item x="190"/>
        <item x="13"/>
        <item x="162"/>
        <item x="155"/>
        <item x="273"/>
        <item x="127"/>
        <item x="270"/>
        <item x="272"/>
        <item x="95"/>
        <item x="72"/>
        <item x="269"/>
        <item x="30"/>
        <item x="280"/>
        <item x="224"/>
        <item x="179"/>
        <item x="287"/>
        <item x="192"/>
        <item x="11"/>
        <item x="44"/>
        <item x="191"/>
        <item x="275"/>
        <item x="177"/>
        <item x="289"/>
        <item x="69"/>
        <item x="17"/>
        <item x="105"/>
        <item x="93"/>
        <item x="218"/>
        <item x="168"/>
        <item x="276"/>
        <item x="78"/>
        <item x="169"/>
        <item x="51"/>
        <item x="113"/>
        <item x="237"/>
        <item x="181"/>
        <item x="117"/>
        <item x="196"/>
        <item x="56"/>
        <item x="86"/>
        <item x="214"/>
        <item x="229"/>
        <item x="114"/>
        <item x="5"/>
        <item x="18"/>
        <item x="15"/>
        <item x="234"/>
        <item x="174"/>
        <item x="213"/>
        <item x="306"/>
        <item x="145"/>
        <item x="142"/>
        <item x="248"/>
        <item x="326"/>
        <item x="48"/>
        <item x="246"/>
        <item x="312"/>
        <item x="186"/>
        <item x="284"/>
        <item x="157"/>
        <item x="316"/>
        <item x="217"/>
        <item x="293"/>
        <item x="2"/>
        <item x="140"/>
        <item x="303"/>
        <item x="288"/>
        <item x="131"/>
        <item x="257"/>
        <item x="128"/>
        <item x="161"/>
        <item x="4"/>
        <item x="285"/>
        <item x="319"/>
        <item x="94"/>
        <item x="271"/>
        <item x="148"/>
        <item x="55"/>
        <item x="87"/>
        <item x="183"/>
        <item x="208"/>
        <item x="160"/>
        <item x="220"/>
        <item x="91"/>
        <item x="282"/>
        <item x="7"/>
        <item x="253"/>
        <item x="204"/>
        <item x="23"/>
        <item x="251"/>
        <item x="24"/>
        <item x="241"/>
        <item x="307"/>
        <item x="153"/>
        <item x="6"/>
        <item x="20"/>
        <item x="101"/>
        <item x="329"/>
        <item x="216"/>
        <item x="228"/>
        <item x="184"/>
        <item x="31"/>
        <item x="118"/>
        <item x="33"/>
        <item x="34"/>
        <item x="116"/>
        <item x="40"/>
        <item x="159"/>
        <item x="296"/>
        <item x="211"/>
        <item x="254"/>
        <item x="133"/>
        <item x="178"/>
        <item x="239"/>
        <item x="298"/>
        <item x="120"/>
        <item x="125"/>
        <item x="29"/>
        <item x="21"/>
        <item x="171"/>
        <item x="274"/>
        <item x="79"/>
        <item x="325"/>
        <item x="286"/>
        <item x="262"/>
        <item x="90"/>
        <item x="64"/>
        <item x="9"/>
        <item x="255"/>
        <item x="240"/>
        <item x="264"/>
        <item x="43"/>
        <item x="1"/>
        <item x="16"/>
        <item x="123"/>
        <item x="75"/>
        <item x="297"/>
        <item x="19"/>
        <item x="47"/>
        <item x="195"/>
        <item x="215"/>
        <item x="107"/>
        <item x="115"/>
        <item x="165"/>
        <item x="103"/>
        <item x="299"/>
        <item x="219"/>
        <item x="198"/>
        <item x="54"/>
        <item x="106"/>
        <item x="238"/>
        <item x="250"/>
        <item x="308"/>
        <item x="42"/>
        <item x="46"/>
        <item x="146"/>
        <item x="202"/>
        <item x="247"/>
        <item x="119"/>
        <item x="14"/>
        <item x="278"/>
        <item x="205"/>
        <item x="147"/>
        <item x="256"/>
        <item x="26"/>
        <item x="223"/>
        <item x="236"/>
        <item x="173"/>
        <item x="67"/>
        <item x="180"/>
        <item x="327"/>
        <item x="12"/>
        <item x="259"/>
        <item x="200"/>
        <item x="27"/>
        <item x="53"/>
        <item x="290"/>
        <item x="261"/>
        <item x="279"/>
        <item x="233"/>
        <item x="38"/>
        <item x="122"/>
        <item x="68"/>
        <item x="324"/>
        <item x="121"/>
        <item x="39"/>
        <item x="209"/>
        <item x="59"/>
        <item x="321"/>
        <item x="210"/>
        <item x="129"/>
        <item x="227"/>
        <item x="295"/>
        <item x="166"/>
        <item x="71"/>
        <item x="130"/>
        <item x="323"/>
        <item x="320"/>
        <item x="311"/>
        <item x="263"/>
        <item x="100"/>
        <item x="49"/>
        <item x="152"/>
        <item x="305"/>
        <item x="221"/>
        <item x="45"/>
        <item x="315"/>
        <item x="37"/>
        <item x="156"/>
        <item x="63"/>
        <item x="167"/>
        <item x="242"/>
        <item x="143"/>
        <item x="149"/>
        <item x="151"/>
        <item x="185"/>
        <item x="136"/>
        <item x="172"/>
        <item x="70"/>
        <item x="281"/>
        <item x="310"/>
        <item x="291"/>
        <item x="267"/>
        <item x="212"/>
        <item x="66"/>
        <item x="294"/>
        <item x="0"/>
        <item x="187"/>
        <item x="92"/>
        <item x="150"/>
        <item x="32"/>
        <item x="322"/>
        <item x="35"/>
        <item x="74"/>
        <item x="82"/>
        <item x="313"/>
        <item x="201"/>
        <item x="109"/>
        <item x="138"/>
        <item x="88"/>
        <item x="164"/>
        <item x="317"/>
        <item x="22"/>
        <item x="226"/>
        <item x="80"/>
        <item x="230"/>
        <item x="77"/>
        <item x="301"/>
        <item x="52"/>
        <item x="258"/>
        <item x="265"/>
        <item x="292"/>
        <item x="232"/>
        <item x="97"/>
        <item x="266"/>
        <item x="3"/>
        <item x="85"/>
        <item x="76"/>
        <item x="62"/>
        <item x="193"/>
        <item x="207"/>
        <item x="83"/>
        <item x="197"/>
        <item x="112"/>
        <item x="61"/>
        <item x="328"/>
        <item x="283"/>
        <item x="141"/>
        <item x="222"/>
        <item x="25"/>
        <item x="104"/>
        <item x="89"/>
        <item x="65"/>
        <item x="60"/>
        <item x="28"/>
        <item x="137"/>
        <item x="108"/>
        <item x="245"/>
        <item x="175"/>
        <item x="163"/>
        <item x="36"/>
        <item x="50"/>
        <item x="111"/>
        <item x="58"/>
        <item x="182"/>
        <item x="158"/>
        <item x="188"/>
        <item x="231"/>
        <item x="110"/>
        <item x="199"/>
        <item x="139"/>
        <item x="309"/>
        <item x="170"/>
        <item x="126"/>
        <item x="8"/>
        <item x="318"/>
        <item x="132"/>
        <item x="98"/>
        <item x="225"/>
        <item t="default"/>
      </items>
    </pivotField>
    <pivotField numFmtId="14" showAll="0"/>
    <pivotField showAll="0">
      <items count="330">
        <item x="153"/>
        <item x="309"/>
        <item x="188"/>
        <item x="231"/>
        <item x="239"/>
        <item x="218"/>
        <item x="70"/>
        <item x="132"/>
        <item x="83"/>
        <item x="267"/>
        <item x="122"/>
        <item x="40"/>
        <item x="141"/>
        <item x="107"/>
        <item x="328"/>
        <item x="9"/>
        <item x="80"/>
        <item x="94"/>
        <item x="63"/>
        <item x="148"/>
        <item x="55"/>
        <item x="294"/>
        <item x="250"/>
        <item x="234"/>
        <item x="125"/>
        <item x="263"/>
        <item x="282"/>
        <item x="173"/>
        <item x="175"/>
        <item x="214"/>
        <item x="68"/>
        <item x="311"/>
        <item x="279"/>
        <item x="190"/>
        <item x="12"/>
        <item x="293"/>
        <item x="193"/>
        <item x="91"/>
        <item x="266"/>
        <item x="42"/>
        <item x="98"/>
        <item x="110"/>
        <item x="154"/>
        <item x="215"/>
        <item x="316"/>
        <item x="177"/>
        <item x="235"/>
        <item x="104"/>
        <item x="260"/>
        <item x="10"/>
        <item x="16"/>
        <item x="30"/>
        <item x="74"/>
        <item x="224"/>
        <item x="89"/>
        <item x="226"/>
        <item x="17"/>
        <item x="166"/>
        <item x="34"/>
        <item x="296"/>
        <item x="264"/>
        <item x="312"/>
        <item x="205"/>
        <item x="65"/>
        <item x="198"/>
        <item x="115"/>
        <item x="5"/>
        <item x="51"/>
        <item x="180"/>
        <item x="257"/>
        <item x="228"/>
        <item x="308"/>
        <item x="274"/>
        <item x="203"/>
        <item x="275"/>
        <item x="111"/>
        <item x="14"/>
        <item x="155"/>
        <item x="217"/>
        <item x="174"/>
        <item x="238"/>
        <item x="241"/>
        <item x="46"/>
        <item x="39"/>
        <item x="237"/>
        <item x="201"/>
        <item x="255"/>
        <item x="129"/>
        <item x="135"/>
        <item x="171"/>
        <item x="243"/>
        <item x="251"/>
        <item x="156"/>
        <item x="270"/>
        <item x="138"/>
        <item x="4"/>
        <item x="194"/>
        <item x="161"/>
        <item x="317"/>
        <item x="84"/>
        <item x="2"/>
        <item x="240"/>
        <item x="139"/>
        <item x="271"/>
        <item x="87"/>
        <item x="320"/>
        <item x="77"/>
        <item x="210"/>
        <item x="295"/>
        <item x="164"/>
        <item x="284"/>
        <item x="117"/>
        <item x="233"/>
        <item x="152"/>
        <item x="54"/>
        <item x="7"/>
        <item x="200"/>
        <item x="183"/>
        <item x="159"/>
        <item x="223"/>
        <item x="207"/>
        <item x="47"/>
        <item x="247"/>
        <item x="18"/>
        <item x="140"/>
        <item x="21"/>
        <item x="304"/>
        <item x="22"/>
        <item x="272"/>
        <item x="289"/>
        <item x="32"/>
        <item x="222"/>
        <item x="220"/>
        <item x="62"/>
        <item x="321"/>
        <item x="302"/>
        <item x="176"/>
        <item x="258"/>
        <item x="192"/>
        <item x="76"/>
        <item x="206"/>
        <item x="158"/>
        <item x="229"/>
        <item x="252"/>
        <item x="19"/>
        <item x="86"/>
        <item x="191"/>
        <item x="265"/>
        <item x="28"/>
        <item x="315"/>
        <item x="288"/>
        <item x="118"/>
        <item x="131"/>
        <item x="45"/>
        <item x="169"/>
        <item x="208"/>
        <item x="292"/>
        <item x="145"/>
        <item x="29"/>
        <item x="325"/>
        <item x="253"/>
        <item x="72"/>
        <item x="106"/>
        <item x="300"/>
        <item x="313"/>
        <item x="276"/>
        <item x="99"/>
        <item x="324"/>
        <item x="61"/>
        <item x="170"/>
        <item x="1"/>
        <item x="121"/>
        <item x="305"/>
        <item x="163"/>
        <item x="151"/>
        <item x="15"/>
        <item x="116"/>
        <item x="41"/>
        <item x="100"/>
        <item x="123"/>
        <item x="44"/>
        <item x="143"/>
        <item x="246"/>
        <item x="287"/>
        <item x="144"/>
        <item x="13"/>
        <item x="254"/>
        <item x="113"/>
        <item x="197"/>
        <item x="179"/>
        <item x="326"/>
        <item x="280"/>
        <item x="105"/>
        <item x="101"/>
        <item x="261"/>
        <item x="213"/>
        <item x="269"/>
        <item x="249"/>
        <item x="307"/>
        <item x="182"/>
        <item x="24"/>
        <item x="178"/>
        <item x="11"/>
        <item x="119"/>
        <item x="327"/>
        <item x="299"/>
        <item x="38"/>
        <item x="53"/>
        <item x="58"/>
        <item x="90"/>
        <item x="37"/>
        <item x="303"/>
        <item x="64"/>
        <item x="49"/>
        <item x="221"/>
        <item x="225"/>
        <item x="26"/>
        <item x="127"/>
        <item x="189"/>
        <item x="301"/>
        <item x="262"/>
        <item x="209"/>
        <item x="95"/>
        <item x="242"/>
        <item x="67"/>
        <item x="314"/>
        <item x="150"/>
        <item x="248"/>
        <item x="277"/>
        <item x="36"/>
        <item x="212"/>
        <item x="204"/>
        <item x="142"/>
        <item x="103"/>
        <item x="160"/>
        <item x="75"/>
        <item x="126"/>
        <item x="319"/>
        <item x="128"/>
        <item x="137"/>
        <item x="43"/>
        <item x="219"/>
        <item x="298"/>
        <item x="66"/>
        <item x="133"/>
        <item x="172"/>
        <item x="186"/>
        <item x="25"/>
        <item x="147"/>
        <item x="93"/>
        <item x="79"/>
        <item x="290"/>
        <item x="310"/>
        <item x="0"/>
        <item x="88"/>
        <item x="33"/>
        <item x="256"/>
        <item x="57"/>
        <item x="259"/>
        <item x="297"/>
        <item x="322"/>
        <item x="31"/>
        <item x="81"/>
        <item x="196"/>
        <item x="278"/>
        <item x="146"/>
        <item x="71"/>
        <item x="20"/>
        <item x="134"/>
        <item x="85"/>
        <item x="3"/>
        <item x="112"/>
        <item x="78"/>
        <item x="281"/>
        <item x="52"/>
        <item x="230"/>
        <item x="291"/>
        <item x="184"/>
        <item x="102"/>
        <item x="136"/>
        <item x="162"/>
        <item x="157"/>
        <item x="187"/>
        <item x="149"/>
        <item x="97"/>
        <item x="244"/>
        <item x="199"/>
        <item x="120"/>
        <item x="82"/>
        <item x="35"/>
        <item x="96"/>
        <item x="59"/>
        <item x="227"/>
        <item x="232"/>
        <item x="306"/>
        <item x="50"/>
        <item x="60"/>
        <item x="165"/>
        <item x="202"/>
        <item x="167"/>
        <item x="73"/>
        <item x="285"/>
        <item x="108"/>
        <item x="211"/>
        <item x="48"/>
        <item x="114"/>
        <item x="69"/>
        <item x="23"/>
        <item x="56"/>
        <item x="283"/>
        <item x="109"/>
        <item x="236"/>
        <item x="323"/>
        <item x="318"/>
        <item x="168"/>
        <item x="268"/>
        <item x="195"/>
        <item x="185"/>
        <item x="130"/>
        <item x="286"/>
        <item x="124"/>
        <item x="216"/>
        <item x="27"/>
        <item x="8"/>
        <item x="273"/>
        <item x="245"/>
        <item x="181"/>
        <item x="92"/>
        <item x="6"/>
        <item t="default"/>
      </items>
    </pivotField>
    <pivotField showAll="0">
      <items count="134">
        <item x="79"/>
        <item x="121"/>
        <item x="116"/>
        <item x="123"/>
        <item x="86"/>
        <item x="126"/>
        <item x="114"/>
        <item x="57"/>
        <item x="50"/>
        <item x="83"/>
        <item x="13"/>
        <item x="122"/>
        <item x="37"/>
        <item x="18"/>
        <item x="23"/>
        <item x="87"/>
        <item x="6"/>
        <item x="105"/>
        <item x="70"/>
        <item x="45"/>
        <item x="73"/>
        <item x="16"/>
        <item x="38"/>
        <item x="52"/>
        <item x="93"/>
        <item x="40"/>
        <item x="101"/>
        <item x="53"/>
        <item x="7"/>
        <item x="64"/>
        <item x="74"/>
        <item x="112"/>
        <item x="48"/>
        <item x="113"/>
        <item x="106"/>
        <item x="124"/>
        <item x="97"/>
        <item x="24"/>
        <item x="42"/>
        <item x="68"/>
        <item x="84"/>
        <item x="58"/>
        <item x="67"/>
        <item x="22"/>
        <item x="104"/>
        <item x="39"/>
        <item x="17"/>
        <item x="26"/>
        <item x="81"/>
        <item x="75"/>
        <item x="89"/>
        <item x="120"/>
        <item x="60"/>
        <item x="85"/>
        <item x="82"/>
        <item x="36"/>
        <item x="128"/>
        <item x="28"/>
        <item x="4"/>
        <item x="54"/>
        <item x="108"/>
        <item x="90"/>
        <item x="98"/>
        <item x="8"/>
        <item x="25"/>
        <item x="47"/>
        <item x="31"/>
        <item x="110"/>
        <item x="20"/>
        <item x="33"/>
        <item x="1"/>
        <item x="107"/>
        <item x="78"/>
        <item x="118"/>
        <item x="61"/>
        <item x="49"/>
        <item x="94"/>
        <item x="65"/>
        <item x="43"/>
        <item x="5"/>
        <item x="30"/>
        <item x="99"/>
        <item x="62"/>
        <item x="77"/>
        <item x="80"/>
        <item x="100"/>
        <item x="95"/>
        <item x="91"/>
        <item x="72"/>
        <item x="34"/>
        <item x="119"/>
        <item x="14"/>
        <item x="131"/>
        <item x="96"/>
        <item x="32"/>
        <item x="15"/>
        <item x="27"/>
        <item x="127"/>
        <item x="21"/>
        <item x="92"/>
        <item x="46"/>
        <item x="9"/>
        <item x="63"/>
        <item x="103"/>
        <item x="51"/>
        <item x="55"/>
        <item x="125"/>
        <item x="111"/>
        <item x="41"/>
        <item x="29"/>
        <item x="130"/>
        <item x="19"/>
        <item x="129"/>
        <item x="11"/>
        <item x="35"/>
        <item x="56"/>
        <item x="12"/>
        <item x="59"/>
        <item x="69"/>
        <item x="66"/>
        <item x="109"/>
        <item x="132"/>
        <item x="115"/>
        <item x="76"/>
        <item x="117"/>
        <item x="71"/>
        <item x="10"/>
        <item x="44"/>
        <item x="102"/>
        <item x="2"/>
        <item x="88"/>
        <item x="3"/>
        <item x="0"/>
        <item t="default"/>
      </items>
    </pivotField>
    <pivotField numFmtId="165" showAll="0"/>
    <pivotField dataField="1" numFmtId="165" showAll="0"/>
    <pivotField numFmtId="165" showAll="0"/>
    <pivotField showAll="0"/>
    <pivotField showAll="0"/>
    <pivotField showAll="0"/>
    <pivotField numFmtId="165"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Items count="1">
    <i/>
  </colItems>
  <dataFields count="1">
    <dataField name="Soma de custo_real_acumulado" fld="10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261DF4-D0BC-46DD-8800-CA07111CBF20}" name="Tabela dinâmica4" cacheId="182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>
  <location ref="A15:A16" firstHeaderRow="1" firstDataRow="1" firstDataCol="0"/>
  <pivotFields count="23">
    <pivotField showAll="0"/>
    <pivotField showAll="0"/>
    <pivotField showAll="0"/>
    <pivotField showAll="0">
      <items count="11">
        <item x="4"/>
        <item h="1" x="5"/>
        <item h="1" x="1"/>
        <item h="1" x="6"/>
        <item h="1" x="2"/>
        <item h="1" x="7"/>
        <item h="1" x="3"/>
        <item h="1" x="0"/>
        <item h="1" x="8"/>
        <item h="1" x="9"/>
        <item t="default"/>
      </items>
    </pivotField>
    <pivotField showAll="0"/>
    <pivotField numFmtId="14" showAll="0">
      <items count="331">
        <item x="194"/>
        <item x="41"/>
        <item x="235"/>
        <item x="154"/>
        <item x="144"/>
        <item x="189"/>
        <item x="268"/>
        <item x="300"/>
        <item x="203"/>
        <item x="304"/>
        <item x="135"/>
        <item x="314"/>
        <item x="302"/>
        <item x="102"/>
        <item x="134"/>
        <item x="243"/>
        <item x="73"/>
        <item x="99"/>
        <item x="260"/>
        <item x="244"/>
        <item x="206"/>
        <item x="252"/>
        <item x="96"/>
        <item x="81"/>
        <item x="249"/>
        <item x="57"/>
        <item x="10"/>
        <item x="124"/>
        <item x="176"/>
        <item x="84"/>
        <item x="277"/>
        <item x="190"/>
        <item x="13"/>
        <item x="162"/>
        <item x="155"/>
        <item x="273"/>
        <item x="127"/>
        <item x="270"/>
        <item x="272"/>
        <item x="95"/>
        <item x="72"/>
        <item x="269"/>
        <item x="30"/>
        <item x="280"/>
        <item x="224"/>
        <item x="179"/>
        <item x="287"/>
        <item x="192"/>
        <item x="11"/>
        <item x="44"/>
        <item x="191"/>
        <item x="275"/>
        <item x="177"/>
        <item x="289"/>
        <item x="69"/>
        <item x="17"/>
        <item x="105"/>
        <item x="93"/>
        <item x="218"/>
        <item x="168"/>
        <item x="276"/>
        <item x="78"/>
        <item x="169"/>
        <item x="51"/>
        <item x="113"/>
        <item x="237"/>
        <item x="181"/>
        <item x="117"/>
        <item x="196"/>
        <item x="56"/>
        <item x="86"/>
        <item x="214"/>
        <item x="229"/>
        <item x="114"/>
        <item x="5"/>
        <item x="18"/>
        <item x="15"/>
        <item x="234"/>
        <item x="174"/>
        <item x="213"/>
        <item x="306"/>
        <item x="145"/>
        <item x="142"/>
        <item x="248"/>
        <item x="326"/>
        <item x="48"/>
        <item x="246"/>
        <item x="312"/>
        <item x="186"/>
        <item x="284"/>
        <item x="157"/>
        <item x="316"/>
        <item x="217"/>
        <item x="293"/>
        <item x="2"/>
        <item x="140"/>
        <item x="303"/>
        <item x="288"/>
        <item x="131"/>
        <item x="257"/>
        <item x="128"/>
        <item x="161"/>
        <item x="4"/>
        <item x="285"/>
        <item x="319"/>
        <item x="94"/>
        <item x="271"/>
        <item x="148"/>
        <item x="55"/>
        <item x="87"/>
        <item x="183"/>
        <item x="208"/>
        <item x="160"/>
        <item x="220"/>
        <item x="91"/>
        <item x="282"/>
        <item x="7"/>
        <item x="253"/>
        <item x="204"/>
        <item x="23"/>
        <item x="251"/>
        <item x="24"/>
        <item x="241"/>
        <item x="307"/>
        <item x="153"/>
        <item x="6"/>
        <item x="20"/>
        <item x="101"/>
        <item x="329"/>
        <item x="216"/>
        <item x="228"/>
        <item x="184"/>
        <item x="31"/>
        <item x="118"/>
        <item x="33"/>
        <item x="34"/>
        <item x="116"/>
        <item x="40"/>
        <item x="159"/>
        <item x="296"/>
        <item x="211"/>
        <item x="254"/>
        <item x="133"/>
        <item x="178"/>
        <item x="239"/>
        <item x="298"/>
        <item x="120"/>
        <item x="125"/>
        <item x="29"/>
        <item x="21"/>
        <item x="171"/>
        <item x="274"/>
        <item x="79"/>
        <item x="325"/>
        <item x="286"/>
        <item x="262"/>
        <item x="90"/>
        <item x="64"/>
        <item x="9"/>
        <item x="255"/>
        <item x="240"/>
        <item x="264"/>
        <item x="43"/>
        <item x="1"/>
        <item x="16"/>
        <item x="123"/>
        <item x="75"/>
        <item x="297"/>
        <item x="19"/>
        <item x="47"/>
        <item x="195"/>
        <item x="215"/>
        <item x="107"/>
        <item x="115"/>
        <item x="165"/>
        <item x="103"/>
        <item x="299"/>
        <item x="219"/>
        <item x="198"/>
        <item x="54"/>
        <item x="106"/>
        <item x="238"/>
        <item x="250"/>
        <item x="308"/>
        <item x="42"/>
        <item x="46"/>
        <item x="146"/>
        <item x="202"/>
        <item x="247"/>
        <item x="119"/>
        <item x="14"/>
        <item x="278"/>
        <item x="205"/>
        <item x="147"/>
        <item x="256"/>
        <item x="26"/>
        <item x="223"/>
        <item x="236"/>
        <item x="173"/>
        <item x="67"/>
        <item x="180"/>
        <item x="327"/>
        <item x="12"/>
        <item x="259"/>
        <item x="200"/>
        <item x="27"/>
        <item x="53"/>
        <item x="290"/>
        <item x="261"/>
        <item x="279"/>
        <item x="233"/>
        <item x="38"/>
        <item x="122"/>
        <item x="68"/>
        <item x="324"/>
        <item x="121"/>
        <item x="39"/>
        <item x="209"/>
        <item x="59"/>
        <item x="321"/>
        <item x="210"/>
        <item x="129"/>
        <item x="227"/>
        <item x="295"/>
        <item x="166"/>
        <item x="71"/>
        <item x="130"/>
        <item x="323"/>
        <item x="320"/>
        <item x="311"/>
        <item x="263"/>
        <item x="100"/>
        <item x="49"/>
        <item x="152"/>
        <item x="305"/>
        <item x="221"/>
        <item x="45"/>
        <item x="315"/>
        <item x="37"/>
        <item x="156"/>
        <item x="63"/>
        <item x="167"/>
        <item x="242"/>
        <item x="143"/>
        <item x="149"/>
        <item x="151"/>
        <item x="185"/>
        <item x="136"/>
        <item x="172"/>
        <item x="70"/>
        <item x="281"/>
        <item x="310"/>
        <item x="291"/>
        <item x="267"/>
        <item x="212"/>
        <item x="66"/>
        <item x="294"/>
        <item x="0"/>
        <item x="187"/>
        <item x="92"/>
        <item x="150"/>
        <item x="32"/>
        <item x="322"/>
        <item x="35"/>
        <item x="74"/>
        <item x="82"/>
        <item x="313"/>
        <item x="201"/>
        <item x="109"/>
        <item x="138"/>
        <item x="88"/>
        <item x="164"/>
        <item x="317"/>
        <item x="22"/>
        <item x="226"/>
        <item x="80"/>
        <item x="230"/>
        <item x="77"/>
        <item x="301"/>
        <item x="52"/>
        <item x="258"/>
        <item x="265"/>
        <item x="292"/>
        <item x="232"/>
        <item x="97"/>
        <item x="266"/>
        <item x="3"/>
        <item x="85"/>
        <item x="76"/>
        <item x="62"/>
        <item x="193"/>
        <item x="207"/>
        <item x="83"/>
        <item x="197"/>
        <item x="112"/>
        <item x="61"/>
        <item x="328"/>
        <item x="283"/>
        <item x="141"/>
        <item x="222"/>
        <item x="25"/>
        <item x="104"/>
        <item x="89"/>
        <item x="65"/>
        <item x="60"/>
        <item x="28"/>
        <item x="137"/>
        <item x="108"/>
        <item x="245"/>
        <item x="175"/>
        <item x="163"/>
        <item x="36"/>
        <item x="50"/>
        <item x="111"/>
        <item x="58"/>
        <item x="182"/>
        <item x="158"/>
        <item x="188"/>
        <item x="231"/>
        <item x="110"/>
        <item x="199"/>
        <item x="139"/>
        <item x="309"/>
        <item x="170"/>
        <item x="126"/>
        <item x="8"/>
        <item x="318"/>
        <item x="132"/>
        <item x="98"/>
        <item x="225"/>
        <item t="default"/>
      </items>
    </pivotField>
    <pivotField numFmtId="14" showAll="0"/>
    <pivotField showAll="0">
      <items count="330">
        <item x="153"/>
        <item x="309"/>
        <item x="188"/>
        <item x="231"/>
        <item x="239"/>
        <item x="218"/>
        <item x="70"/>
        <item x="132"/>
        <item x="83"/>
        <item x="267"/>
        <item x="122"/>
        <item x="40"/>
        <item x="141"/>
        <item x="107"/>
        <item x="328"/>
        <item x="9"/>
        <item x="80"/>
        <item x="94"/>
        <item x="63"/>
        <item x="148"/>
        <item x="55"/>
        <item x="294"/>
        <item x="250"/>
        <item x="234"/>
        <item x="125"/>
        <item x="263"/>
        <item x="282"/>
        <item x="173"/>
        <item x="175"/>
        <item x="214"/>
        <item x="68"/>
        <item x="311"/>
        <item x="279"/>
        <item x="190"/>
        <item x="12"/>
        <item x="293"/>
        <item x="193"/>
        <item x="91"/>
        <item x="266"/>
        <item x="42"/>
        <item x="98"/>
        <item x="110"/>
        <item x="154"/>
        <item x="215"/>
        <item x="316"/>
        <item x="177"/>
        <item x="235"/>
        <item x="104"/>
        <item x="260"/>
        <item x="10"/>
        <item x="16"/>
        <item x="30"/>
        <item x="74"/>
        <item x="224"/>
        <item x="89"/>
        <item x="226"/>
        <item x="17"/>
        <item x="166"/>
        <item x="34"/>
        <item x="296"/>
        <item x="264"/>
        <item x="312"/>
        <item x="205"/>
        <item x="65"/>
        <item x="198"/>
        <item x="115"/>
        <item x="5"/>
        <item x="51"/>
        <item x="180"/>
        <item x="257"/>
        <item x="228"/>
        <item x="308"/>
        <item x="274"/>
        <item x="203"/>
        <item x="275"/>
        <item x="111"/>
        <item x="14"/>
        <item x="155"/>
        <item x="217"/>
        <item x="174"/>
        <item x="238"/>
        <item x="241"/>
        <item x="46"/>
        <item x="39"/>
        <item x="237"/>
        <item x="201"/>
        <item x="255"/>
        <item x="129"/>
        <item x="135"/>
        <item x="171"/>
        <item x="243"/>
        <item x="251"/>
        <item x="156"/>
        <item x="270"/>
        <item x="138"/>
        <item x="4"/>
        <item x="194"/>
        <item x="161"/>
        <item x="317"/>
        <item x="84"/>
        <item x="2"/>
        <item x="240"/>
        <item x="139"/>
        <item x="271"/>
        <item x="87"/>
        <item x="320"/>
        <item x="77"/>
        <item x="210"/>
        <item x="295"/>
        <item x="164"/>
        <item x="284"/>
        <item x="117"/>
        <item x="233"/>
        <item x="152"/>
        <item x="54"/>
        <item x="7"/>
        <item x="200"/>
        <item x="183"/>
        <item x="159"/>
        <item x="223"/>
        <item x="207"/>
        <item x="47"/>
        <item x="247"/>
        <item x="18"/>
        <item x="140"/>
        <item x="21"/>
        <item x="304"/>
        <item x="22"/>
        <item x="272"/>
        <item x="289"/>
        <item x="32"/>
        <item x="222"/>
        <item x="220"/>
        <item x="62"/>
        <item x="321"/>
        <item x="302"/>
        <item x="176"/>
        <item x="258"/>
        <item x="192"/>
        <item x="76"/>
        <item x="206"/>
        <item x="158"/>
        <item x="229"/>
        <item x="252"/>
        <item x="19"/>
        <item x="86"/>
        <item x="191"/>
        <item x="265"/>
        <item x="28"/>
        <item x="315"/>
        <item x="288"/>
        <item x="118"/>
        <item x="131"/>
        <item x="45"/>
        <item x="169"/>
        <item x="208"/>
        <item x="292"/>
        <item x="145"/>
        <item x="29"/>
        <item x="325"/>
        <item x="253"/>
        <item x="72"/>
        <item x="106"/>
        <item x="300"/>
        <item x="313"/>
        <item x="276"/>
        <item x="99"/>
        <item x="324"/>
        <item x="61"/>
        <item x="170"/>
        <item x="1"/>
        <item x="121"/>
        <item x="305"/>
        <item x="163"/>
        <item x="151"/>
        <item x="15"/>
        <item x="116"/>
        <item x="41"/>
        <item x="100"/>
        <item x="123"/>
        <item x="44"/>
        <item x="143"/>
        <item x="246"/>
        <item x="287"/>
        <item x="144"/>
        <item x="13"/>
        <item x="254"/>
        <item x="113"/>
        <item x="197"/>
        <item x="179"/>
        <item x="326"/>
        <item x="280"/>
        <item x="105"/>
        <item x="101"/>
        <item x="261"/>
        <item x="213"/>
        <item x="269"/>
        <item x="249"/>
        <item x="307"/>
        <item x="182"/>
        <item x="24"/>
        <item x="178"/>
        <item x="11"/>
        <item x="119"/>
        <item x="327"/>
        <item x="299"/>
        <item x="38"/>
        <item x="53"/>
        <item x="58"/>
        <item x="90"/>
        <item x="37"/>
        <item x="303"/>
        <item x="64"/>
        <item x="49"/>
        <item x="221"/>
        <item x="225"/>
        <item x="26"/>
        <item x="127"/>
        <item x="189"/>
        <item x="301"/>
        <item x="262"/>
        <item x="209"/>
        <item x="95"/>
        <item x="242"/>
        <item x="67"/>
        <item x="314"/>
        <item x="150"/>
        <item x="248"/>
        <item x="277"/>
        <item x="36"/>
        <item x="212"/>
        <item x="204"/>
        <item x="142"/>
        <item x="103"/>
        <item x="160"/>
        <item x="75"/>
        <item x="126"/>
        <item x="319"/>
        <item x="128"/>
        <item x="137"/>
        <item x="43"/>
        <item x="219"/>
        <item x="298"/>
        <item x="66"/>
        <item x="133"/>
        <item x="172"/>
        <item x="186"/>
        <item x="25"/>
        <item x="147"/>
        <item x="93"/>
        <item x="79"/>
        <item x="290"/>
        <item x="310"/>
        <item x="0"/>
        <item x="88"/>
        <item x="33"/>
        <item x="256"/>
        <item x="57"/>
        <item x="259"/>
        <item x="297"/>
        <item x="322"/>
        <item x="31"/>
        <item x="81"/>
        <item x="196"/>
        <item x="278"/>
        <item x="146"/>
        <item x="71"/>
        <item x="20"/>
        <item x="134"/>
        <item x="85"/>
        <item x="3"/>
        <item x="112"/>
        <item x="78"/>
        <item x="281"/>
        <item x="52"/>
        <item x="230"/>
        <item x="291"/>
        <item x="184"/>
        <item x="102"/>
        <item x="136"/>
        <item x="162"/>
        <item x="157"/>
        <item x="187"/>
        <item x="149"/>
        <item x="97"/>
        <item x="244"/>
        <item x="199"/>
        <item x="120"/>
        <item x="82"/>
        <item x="35"/>
        <item x="96"/>
        <item x="59"/>
        <item x="227"/>
        <item x="232"/>
        <item x="306"/>
        <item x="50"/>
        <item x="60"/>
        <item x="165"/>
        <item x="202"/>
        <item x="167"/>
        <item x="73"/>
        <item x="285"/>
        <item x="108"/>
        <item x="211"/>
        <item x="48"/>
        <item x="114"/>
        <item x="69"/>
        <item x="23"/>
        <item x="56"/>
        <item x="283"/>
        <item x="109"/>
        <item x="236"/>
        <item x="323"/>
        <item x="318"/>
        <item x="168"/>
        <item x="268"/>
        <item x="195"/>
        <item x="185"/>
        <item x="130"/>
        <item x="286"/>
        <item x="124"/>
        <item x="216"/>
        <item x="27"/>
        <item x="8"/>
        <item x="273"/>
        <item x="245"/>
        <item x="181"/>
        <item x="92"/>
        <item x="6"/>
        <item t="default"/>
      </items>
    </pivotField>
    <pivotField showAll="0">
      <items count="134">
        <item x="79"/>
        <item x="121"/>
        <item x="116"/>
        <item x="123"/>
        <item x="86"/>
        <item x="126"/>
        <item x="114"/>
        <item x="57"/>
        <item x="50"/>
        <item x="83"/>
        <item x="13"/>
        <item x="122"/>
        <item x="37"/>
        <item x="18"/>
        <item x="23"/>
        <item x="87"/>
        <item x="6"/>
        <item x="105"/>
        <item x="70"/>
        <item x="45"/>
        <item x="73"/>
        <item x="16"/>
        <item x="38"/>
        <item x="52"/>
        <item x="93"/>
        <item x="40"/>
        <item x="101"/>
        <item x="53"/>
        <item x="7"/>
        <item x="64"/>
        <item x="74"/>
        <item x="112"/>
        <item x="48"/>
        <item x="113"/>
        <item x="106"/>
        <item x="124"/>
        <item x="97"/>
        <item x="24"/>
        <item x="42"/>
        <item x="68"/>
        <item x="84"/>
        <item x="58"/>
        <item x="67"/>
        <item x="22"/>
        <item x="104"/>
        <item x="39"/>
        <item x="17"/>
        <item x="26"/>
        <item x="81"/>
        <item x="75"/>
        <item x="89"/>
        <item x="120"/>
        <item x="60"/>
        <item x="85"/>
        <item x="82"/>
        <item x="36"/>
        <item x="128"/>
        <item x="28"/>
        <item x="4"/>
        <item x="54"/>
        <item x="108"/>
        <item x="90"/>
        <item x="98"/>
        <item x="8"/>
        <item x="25"/>
        <item x="47"/>
        <item x="31"/>
        <item x="110"/>
        <item x="20"/>
        <item x="33"/>
        <item x="1"/>
        <item x="107"/>
        <item x="78"/>
        <item x="118"/>
        <item x="61"/>
        <item x="49"/>
        <item x="94"/>
        <item x="65"/>
        <item x="43"/>
        <item x="5"/>
        <item x="30"/>
        <item x="99"/>
        <item x="62"/>
        <item x="77"/>
        <item x="80"/>
        <item x="100"/>
        <item x="95"/>
        <item x="91"/>
        <item x="72"/>
        <item x="34"/>
        <item x="119"/>
        <item x="14"/>
        <item x="131"/>
        <item x="96"/>
        <item x="32"/>
        <item x="15"/>
        <item x="27"/>
        <item x="127"/>
        <item x="21"/>
        <item x="92"/>
        <item x="46"/>
        <item x="9"/>
        <item x="63"/>
        <item x="103"/>
        <item x="51"/>
        <item x="55"/>
        <item x="125"/>
        <item x="111"/>
        <item x="41"/>
        <item x="29"/>
        <item x="130"/>
        <item x="19"/>
        <item x="129"/>
        <item x="11"/>
        <item x="35"/>
        <item x="56"/>
        <item x="12"/>
        <item x="59"/>
        <item x="69"/>
        <item x="66"/>
        <item x="109"/>
        <item x="132"/>
        <item x="115"/>
        <item x="76"/>
        <item x="117"/>
        <item x="71"/>
        <item x="10"/>
        <item x="44"/>
        <item x="102"/>
        <item x="2"/>
        <item x="88"/>
        <item x="3"/>
        <item x="0"/>
        <item t="default"/>
      </items>
    </pivotField>
    <pivotField dataField="1" numFmtId="165" showAll="0"/>
    <pivotField numFmtId="165" showAll="0"/>
    <pivotField numFmtId="165" showAll="0"/>
    <pivotField showAll="0"/>
    <pivotField showAll="0"/>
    <pivotField showAll="0"/>
    <pivotField numFmtId="165"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Items count="1">
    <i/>
  </colItems>
  <dataFields count="1">
    <dataField name="Soma de orcamento_aprovado" fld="9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41EFA1-F2EF-4BC2-B639-842C43BD58E1}" name="Tabela dinâmica3" cacheId="18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7:A8" firstHeaderRow="1" firstDataRow="1" firstDataCol="0"/>
  <pivotFields count="23">
    <pivotField showAll="0"/>
    <pivotField showAll="0"/>
    <pivotField showAll="0"/>
    <pivotField showAll="0">
      <items count="11">
        <item x="4"/>
        <item h="1" x="5"/>
        <item h="1" x="1"/>
        <item h="1" x="6"/>
        <item h="1" x="2"/>
        <item h="1" x="7"/>
        <item h="1" x="3"/>
        <item h="1" x="0"/>
        <item h="1" x="8"/>
        <item h="1" x="9"/>
        <item t="default"/>
      </items>
    </pivotField>
    <pivotField showAll="0"/>
    <pivotField numFmtId="14" showAll="0">
      <items count="331">
        <item x="194"/>
        <item x="41"/>
        <item x="235"/>
        <item x="154"/>
        <item x="144"/>
        <item x="189"/>
        <item x="268"/>
        <item x="300"/>
        <item x="203"/>
        <item x="304"/>
        <item x="135"/>
        <item x="314"/>
        <item x="302"/>
        <item x="102"/>
        <item x="134"/>
        <item x="243"/>
        <item x="73"/>
        <item x="99"/>
        <item x="260"/>
        <item x="244"/>
        <item x="206"/>
        <item x="252"/>
        <item x="96"/>
        <item x="81"/>
        <item x="249"/>
        <item x="57"/>
        <item x="10"/>
        <item x="124"/>
        <item x="176"/>
        <item x="84"/>
        <item x="277"/>
        <item x="190"/>
        <item x="13"/>
        <item x="162"/>
        <item x="155"/>
        <item x="273"/>
        <item x="127"/>
        <item x="270"/>
        <item x="272"/>
        <item x="95"/>
        <item x="72"/>
        <item x="269"/>
        <item x="30"/>
        <item x="280"/>
        <item x="224"/>
        <item x="179"/>
        <item x="287"/>
        <item x="192"/>
        <item x="11"/>
        <item x="44"/>
        <item x="191"/>
        <item x="275"/>
        <item x="177"/>
        <item x="289"/>
        <item x="69"/>
        <item x="17"/>
        <item x="105"/>
        <item x="93"/>
        <item x="218"/>
        <item x="168"/>
        <item x="276"/>
        <item x="78"/>
        <item x="169"/>
        <item x="51"/>
        <item x="113"/>
        <item x="237"/>
        <item x="181"/>
        <item x="117"/>
        <item x="196"/>
        <item x="56"/>
        <item x="86"/>
        <item x="214"/>
        <item x="229"/>
        <item x="114"/>
        <item x="5"/>
        <item x="18"/>
        <item x="15"/>
        <item x="234"/>
        <item x="174"/>
        <item x="213"/>
        <item x="306"/>
        <item x="145"/>
        <item x="142"/>
        <item x="248"/>
        <item x="326"/>
        <item x="48"/>
        <item x="246"/>
        <item x="312"/>
        <item x="186"/>
        <item x="284"/>
        <item x="157"/>
        <item x="316"/>
        <item x="217"/>
        <item x="293"/>
        <item x="2"/>
        <item x="140"/>
        <item x="303"/>
        <item x="288"/>
        <item x="131"/>
        <item x="257"/>
        <item x="128"/>
        <item x="161"/>
        <item x="4"/>
        <item x="285"/>
        <item x="319"/>
        <item x="94"/>
        <item x="271"/>
        <item x="148"/>
        <item x="55"/>
        <item x="87"/>
        <item x="183"/>
        <item x="208"/>
        <item x="160"/>
        <item x="220"/>
        <item x="91"/>
        <item x="282"/>
        <item x="7"/>
        <item x="253"/>
        <item x="204"/>
        <item x="23"/>
        <item x="251"/>
        <item x="24"/>
        <item x="241"/>
        <item x="307"/>
        <item x="153"/>
        <item x="6"/>
        <item x="20"/>
        <item x="101"/>
        <item x="329"/>
        <item x="216"/>
        <item x="228"/>
        <item x="184"/>
        <item x="31"/>
        <item x="118"/>
        <item x="33"/>
        <item x="34"/>
        <item x="116"/>
        <item x="40"/>
        <item x="159"/>
        <item x="296"/>
        <item x="211"/>
        <item x="254"/>
        <item x="133"/>
        <item x="178"/>
        <item x="239"/>
        <item x="298"/>
        <item x="120"/>
        <item x="125"/>
        <item x="29"/>
        <item x="21"/>
        <item x="171"/>
        <item x="274"/>
        <item x="79"/>
        <item x="325"/>
        <item x="286"/>
        <item x="262"/>
        <item x="90"/>
        <item x="64"/>
        <item x="9"/>
        <item x="255"/>
        <item x="240"/>
        <item x="264"/>
        <item x="43"/>
        <item x="1"/>
        <item x="16"/>
        <item x="123"/>
        <item x="75"/>
        <item x="297"/>
        <item x="19"/>
        <item x="47"/>
        <item x="195"/>
        <item x="215"/>
        <item x="107"/>
        <item x="115"/>
        <item x="165"/>
        <item x="103"/>
        <item x="299"/>
        <item x="219"/>
        <item x="198"/>
        <item x="54"/>
        <item x="106"/>
        <item x="238"/>
        <item x="250"/>
        <item x="308"/>
        <item x="42"/>
        <item x="46"/>
        <item x="146"/>
        <item x="202"/>
        <item x="247"/>
        <item x="119"/>
        <item x="14"/>
        <item x="278"/>
        <item x="205"/>
        <item x="147"/>
        <item x="256"/>
        <item x="26"/>
        <item x="223"/>
        <item x="236"/>
        <item x="173"/>
        <item x="67"/>
        <item x="180"/>
        <item x="327"/>
        <item x="12"/>
        <item x="259"/>
        <item x="200"/>
        <item x="27"/>
        <item x="53"/>
        <item x="290"/>
        <item x="261"/>
        <item x="279"/>
        <item x="233"/>
        <item x="38"/>
        <item x="122"/>
        <item x="68"/>
        <item x="324"/>
        <item x="121"/>
        <item x="39"/>
        <item x="209"/>
        <item x="59"/>
        <item x="321"/>
        <item x="210"/>
        <item x="129"/>
        <item x="227"/>
        <item x="295"/>
        <item x="166"/>
        <item x="71"/>
        <item x="130"/>
        <item x="323"/>
        <item x="320"/>
        <item x="311"/>
        <item x="263"/>
        <item x="100"/>
        <item x="49"/>
        <item x="152"/>
        <item x="305"/>
        <item x="221"/>
        <item x="45"/>
        <item x="315"/>
        <item x="37"/>
        <item x="156"/>
        <item x="63"/>
        <item x="167"/>
        <item x="242"/>
        <item x="143"/>
        <item x="149"/>
        <item x="151"/>
        <item x="185"/>
        <item x="136"/>
        <item x="172"/>
        <item x="70"/>
        <item x="281"/>
        <item x="310"/>
        <item x="291"/>
        <item x="267"/>
        <item x="212"/>
        <item x="66"/>
        <item x="294"/>
        <item x="0"/>
        <item x="187"/>
        <item x="92"/>
        <item x="150"/>
        <item x="32"/>
        <item x="322"/>
        <item x="35"/>
        <item x="74"/>
        <item x="82"/>
        <item x="313"/>
        <item x="201"/>
        <item x="109"/>
        <item x="138"/>
        <item x="88"/>
        <item x="164"/>
        <item x="317"/>
        <item x="22"/>
        <item x="226"/>
        <item x="80"/>
        <item x="230"/>
        <item x="77"/>
        <item x="301"/>
        <item x="52"/>
        <item x="258"/>
        <item x="265"/>
        <item x="292"/>
        <item x="232"/>
        <item x="97"/>
        <item x="266"/>
        <item x="3"/>
        <item x="85"/>
        <item x="76"/>
        <item x="62"/>
        <item x="193"/>
        <item x="207"/>
        <item x="83"/>
        <item x="197"/>
        <item x="112"/>
        <item x="61"/>
        <item x="328"/>
        <item x="283"/>
        <item x="141"/>
        <item x="222"/>
        <item x="25"/>
        <item x="104"/>
        <item x="89"/>
        <item x="65"/>
        <item x="60"/>
        <item x="28"/>
        <item x="137"/>
        <item x="108"/>
        <item x="245"/>
        <item x="175"/>
        <item x="163"/>
        <item x="36"/>
        <item x="50"/>
        <item x="111"/>
        <item x="58"/>
        <item x="182"/>
        <item x="158"/>
        <item x="188"/>
        <item x="231"/>
        <item x="110"/>
        <item x="199"/>
        <item x="139"/>
        <item x="309"/>
        <item x="170"/>
        <item x="126"/>
        <item x="8"/>
        <item x="318"/>
        <item x="132"/>
        <item x="98"/>
        <item x="225"/>
        <item t="default"/>
      </items>
    </pivotField>
    <pivotField numFmtId="14" showAll="0"/>
    <pivotField showAll="0">
      <items count="330">
        <item x="153"/>
        <item x="309"/>
        <item x="188"/>
        <item x="231"/>
        <item x="239"/>
        <item x="218"/>
        <item x="70"/>
        <item x="132"/>
        <item x="83"/>
        <item x="267"/>
        <item x="122"/>
        <item x="40"/>
        <item x="141"/>
        <item x="107"/>
        <item x="328"/>
        <item x="9"/>
        <item x="80"/>
        <item x="94"/>
        <item x="63"/>
        <item x="148"/>
        <item x="55"/>
        <item x="294"/>
        <item x="250"/>
        <item x="234"/>
        <item x="125"/>
        <item x="263"/>
        <item x="282"/>
        <item x="173"/>
        <item x="175"/>
        <item x="214"/>
        <item x="68"/>
        <item x="311"/>
        <item x="279"/>
        <item x="190"/>
        <item x="12"/>
        <item x="293"/>
        <item x="193"/>
        <item x="91"/>
        <item x="266"/>
        <item x="42"/>
        <item x="98"/>
        <item x="110"/>
        <item x="154"/>
        <item x="215"/>
        <item x="316"/>
        <item x="177"/>
        <item x="235"/>
        <item x="104"/>
        <item x="260"/>
        <item x="10"/>
        <item x="16"/>
        <item x="30"/>
        <item x="74"/>
        <item x="224"/>
        <item x="89"/>
        <item x="226"/>
        <item x="17"/>
        <item x="166"/>
        <item x="34"/>
        <item x="296"/>
        <item x="264"/>
        <item x="312"/>
        <item x="205"/>
        <item x="65"/>
        <item x="198"/>
        <item x="115"/>
        <item x="5"/>
        <item x="51"/>
        <item x="180"/>
        <item x="257"/>
        <item x="228"/>
        <item x="308"/>
        <item x="274"/>
        <item x="203"/>
        <item x="275"/>
        <item x="111"/>
        <item x="14"/>
        <item x="155"/>
        <item x="217"/>
        <item x="174"/>
        <item x="238"/>
        <item x="241"/>
        <item x="46"/>
        <item x="39"/>
        <item x="237"/>
        <item x="201"/>
        <item x="255"/>
        <item x="129"/>
        <item x="135"/>
        <item x="171"/>
        <item x="243"/>
        <item x="251"/>
        <item x="156"/>
        <item x="270"/>
        <item x="138"/>
        <item x="4"/>
        <item x="194"/>
        <item x="161"/>
        <item x="317"/>
        <item x="84"/>
        <item x="2"/>
        <item x="240"/>
        <item x="139"/>
        <item x="271"/>
        <item x="87"/>
        <item x="320"/>
        <item x="77"/>
        <item x="210"/>
        <item x="295"/>
        <item x="164"/>
        <item x="284"/>
        <item x="117"/>
        <item x="233"/>
        <item x="152"/>
        <item x="54"/>
        <item x="7"/>
        <item x="200"/>
        <item x="183"/>
        <item x="159"/>
        <item x="223"/>
        <item x="207"/>
        <item x="47"/>
        <item x="247"/>
        <item x="18"/>
        <item x="140"/>
        <item x="21"/>
        <item x="304"/>
        <item x="22"/>
        <item x="272"/>
        <item x="289"/>
        <item x="32"/>
        <item x="222"/>
        <item x="220"/>
        <item x="62"/>
        <item x="321"/>
        <item x="302"/>
        <item x="176"/>
        <item x="258"/>
        <item x="192"/>
        <item x="76"/>
        <item x="206"/>
        <item x="158"/>
        <item x="229"/>
        <item x="252"/>
        <item x="19"/>
        <item x="86"/>
        <item x="191"/>
        <item x="265"/>
        <item x="28"/>
        <item x="315"/>
        <item x="288"/>
        <item x="118"/>
        <item x="131"/>
        <item x="45"/>
        <item x="169"/>
        <item x="208"/>
        <item x="292"/>
        <item x="145"/>
        <item x="29"/>
        <item x="325"/>
        <item x="253"/>
        <item x="72"/>
        <item x="106"/>
        <item x="300"/>
        <item x="313"/>
        <item x="276"/>
        <item x="99"/>
        <item x="324"/>
        <item x="61"/>
        <item x="170"/>
        <item x="1"/>
        <item x="121"/>
        <item x="305"/>
        <item x="163"/>
        <item x="151"/>
        <item x="15"/>
        <item x="116"/>
        <item x="41"/>
        <item x="100"/>
        <item x="123"/>
        <item x="44"/>
        <item x="143"/>
        <item x="246"/>
        <item x="287"/>
        <item x="144"/>
        <item x="13"/>
        <item x="254"/>
        <item x="113"/>
        <item x="197"/>
        <item x="179"/>
        <item x="326"/>
        <item x="280"/>
        <item x="105"/>
        <item x="101"/>
        <item x="261"/>
        <item x="213"/>
        <item x="269"/>
        <item x="249"/>
        <item x="307"/>
        <item x="182"/>
        <item x="24"/>
        <item x="178"/>
        <item x="11"/>
        <item x="119"/>
        <item x="327"/>
        <item x="299"/>
        <item x="38"/>
        <item x="53"/>
        <item x="58"/>
        <item x="90"/>
        <item x="37"/>
        <item x="303"/>
        <item x="64"/>
        <item x="49"/>
        <item x="221"/>
        <item x="225"/>
        <item x="26"/>
        <item x="127"/>
        <item x="189"/>
        <item x="301"/>
        <item x="262"/>
        <item x="209"/>
        <item x="95"/>
        <item x="242"/>
        <item x="67"/>
        <item x="314"/>
        <item x="150"/>
        <item x="248"/>
        <item x="277"/>
        <item x="36"/>
        <item x="212"/>
        <item x="204"/>
        <item x="142"/>
        <item x="103"/>
        <item x="160"/>
        <item x="75"/>
        <item x="126"/>
        <item x="319"/>
        <item x="128"/>
        <item x="137"/>
        <item x="43"/>
        <item x="219"/>
        <item x="298"/>
        <item x="66"/>
        <item x="133"/>
        <item x="172"/>
        <item x="186"/>
        <item x="25"/>
        <item x="147"/>
        <item x="93"/>
        <item x="79"/>
        <item x="290"/>
        <item x="310"/>
        <item x="0"/>
        <item x="88"/>
        <item x="33"/>
        <item x="256"/>
        <item x="57"/>
        <item x="259"/>
        <item x="297"/>
        <item x="322"/>
        <item x="31"/>
        <item x="81"/>
        <item x="196"/>
        <item x="278"/>
        <item x="146"/>
        <item x="71"/>
        <item x="20"/>
        <item x="134"/>
        <item x="85"/>
        <item x="3"/>
        <item x="112"/>
        <item x="78"/>
        <item x="281"/>
        <item x="52"/>
        <item x="230"/>
        <item x="291"/>
        <item x="184"/>
        <item x="102"/>
        <item x="136"/>
        <item x="162"/>
        <item x="157"/>
        <item x="187"/>
        <item x="149"/>
        <item x="97"/>
        <item x="244"/>
        <item x="199"/>
        <item x="120"/>
        <item x="82"/>
        <item x="35"/>
        <item x="96"/>
        <item x="59"/>
        <item x="227"/>
        <item x="232"/>
        <item x="306"/>
        <item x="50"/>
        <item x="60"/>
        <item x="165"/>
        <item x="202"/>
        <item x="167"/>
        <item x="73"/>
        <item x="285"/>
        <item x="108"/>
        <item x="211"/>
        <item x="48"/>
        <item x="114"/>
        <item x="69"/>
        <item x="23"/>
        <item x="56"/>
        <item x="283"/>
        <item x="109"/>
        <item x="236"/>
        <item x="323"/>
        <item x="318"/>
        <item x="168"/>
        <item x="268"/>
        <item x="195"/>
        <item x="185"/>
        <item x="130"/>
        <item x="286"/>
        <item x="124"/>
        <item x="216"/>
        <item x="27"/>
        <item x="8"/>
        <item x="273"/>
        <item x="245"/>
        <item x="181"/>
        <item x="92"/>
        <item x="6"/>
        <item t="default"/>
      </items>
    </pivotField>
    <pivotField dataField="1" showAll="0">
      <items count="134">
        <item x="79"/>
        <item x="121"/>
        <item x="116"/>
        <item x="123"/>
        <item x="86"/>
        <item x="126"/>
        <item x="114"/>
        <item x="57"/>
        <item x="50"/>
        <item x="83"/>
        <item x="13"/>
        <item x="122"/>
        <item x="37"/>
        <item x="18"/>
        <item x="23"/>
        <item x="87"/>
        <item x="6"/>
        <item x="105"/>
        <item x="70"/>
        <item x="45"/>
        <item x="73"/>
        <item x="16"/>
        <item x="38"/>
        <item x="52"/>
        <item x="93"/>
        <item x="40"/>
        <item x="101"/>
        <item x="53"/>
        <item x="7"/>
        <item x="64"/>
        <item x="74"/>
        <item x="112"/>
        <item x="48"/>
        <item x="113"/>
        <item x="106"/>
        <item x="124"/>
        <item x="97"/>
        <item x="24"/>
        <item x="42"/>
        <item x="68"/>
        <item x="84"/>
        <item x="58"/>
        <item x="67"/>
        <item x="22"/>
        <item x="104"/>
        <item x="39"/>
        <item x="17"/>
        <item x="26"/>
        <item x="81"/>
        <item x="75"/>
        <item x="89"/>
        <item x="120"/>
        <item x="60"/>
        <item x="85"/>
        <item x="82"/>
        <item x="36"/>
        <item x="128"/>
        <item x="28"/>
        <item x="4"/>
        <item x="54"/>
        <item x="108"/>
        <item x="90"/>
        <item x="98"/>
        <item x="8"/>
        <item x="25"/>
        <item x="47"/>
        <item x="31"/>
        <item x="110"/>
        <item x="20"/>
        <item x="33"/>
        <item x="1"/>
        <item x="107"/>
        <item x="78"/>
        <item x="118"/>
        <item x="61"/>
        <item x="49"/>
        <item x="94"/>
        <item x="65"/>
        <item x="43"/>
        <item x="5"/>
        <item x="30"/>
        <item x="99"/>
        <item x="62"/>
        <item x="77"/>
        <item x="80"/>
        <item x="100"/>
        <item x="95"/>
        <item x="91"/>
        <item x="72"/>
        <item x="34"/>
        <item x="119"/>
        <item x="14"/>
        <item x="131"/>
        <item x="96"/>
        <item x="32"/>
        <item x="15"/>
        <item x="27"/>
        <item x="127"/>
        <item x="21"/>
        <item x="92"/>
        <item x="46"/>
        <item x="9"/>
        <item x="63"/>
        <item x="103"/>
        <item x="51"/>
        <item x="55"/>
        <item x="125"/>
        <item x="111"/>
        <item x="41"/>
        <item x="29"/>
        <item x="130"/>
        <item x="19"/>
        <item x="129"/>
        <item x="11"/>
        <item x="35"/>
        <item x="56"/>
        <item x="12"/>
        <item x="59"/>
        <item x="69"/>
        <item x="66"/>
        <item x="109"/>
        <item x="132"/>
        <item x="115"/>
        <item x="76"/>
        <item x="117"/>
        <item x="71"/>
        <item x="10"/>
        <item x="44"/>
        <item x="102"/>
        <item x="2"/>
        <item x="88"/>
        <item x="3"/>
        <item x="0"/>
        <item t="default"/>
      </items>
    </pivotField>
    <pivotField numFmtId="165" showAll="0"/>
    <pivotField numFmtId="165" showAll="0"/>
    <pivotField numFmtId="165" showAll="0"/>
    <pivotField showAll="0"/>
    <pivotField showAll="0"/>
    <pivotField showAll="0"/>
    <pivotField numFmtId="165"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Items count="1">
    <i/>
  </colItems>
  <dataFields count="1">
    <dataField name="Contagem de data_fim_real" fld="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12C7E3-7FE2-4239-907F-A53B48697AC0}" name="Tabela dinâmica2" cacheId="18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A4" firstHeaderRow="1" firstDataRow="1" firstDataCol="0"/>
  <pivotFields count="23">
    <pivotField dataField="1" showAll="0"/>
    <pivotField showAll="0"/>
    <pivotField showAll="0"/>
    <pivotField showAll="0">
      <items count="11">
        <item x="4"/>
        <item h="1" x="5"/>
        <item h="1" x="1"/>
        <item h="1" x="6"/>
        <item h="1" x="2"/>
        <item h="1" x="7"/>
        <item h="1" x="3"/>
        <item h="1" x="0"/>
        <item h="1" x="8"/>
        <item h="1" x="9"/>
        <item t="default"/>
      </items>
    </pivotField>
    <pivotField showAll="0"/>
    <pivotField numFmtId="14" showAll="0">
      <items count="331">
        <item x="194"/>
        <item x="41"/>
        <item x="235"/>
        <item x="154"/>
        <item x="144"/>
        <item x="189"/>
        <item x="268"/>
        <item x="300"/>
        <item x="203"/>
        <item x="304"/>
        <item x="135"/>
        <item x="314"/>
        <item x="302"/>
        <item x="102"/>
        <item x="134"/>
        <item x="243"/>
        <item x="73"/>
        <item x="99"/>
        <item x="260"/>
        <item x="244"/>
        <item x="206"/>
        <item x="252"/>
        <item x="96"/>
        <item x="81"/>
        <item x="249"/>
        <item x="57"/>
        <item x="10"/>
        <item x="124"/>
        <item x="176"/>
        <item x="84"/>
        <item x="277"/>
        <item x="190"/>
        <item x="13"/>
        <item x="162"/>
        <item x="155"/>
        <item x="273"/>
        <item x="127"/>
        <item x="270"/>
        <item x="272"/>
        <item x="95"/>
        <item x="72"/>
        <item x="269"/>
        <item x="30"/>
        <item x="280"/>
        <item x="224"/>
        <item x="179"/>
        <item x="287"/>
        <item x="192"/>
        <item x="11"/>
        <item x="44"/>
        <item x="191"/>
        <item x="275"/>
        <item x="177"/>
        <item x="289"/>
        <item x="69"/>
        <item x="17"/>
        <item x="105"/>
        <item x="93"/>
        <item x="218"/>
        <item x="168"/>
        <item x="276"/>
        <item x="78"/>
        <item x="169"/>
        <item x="51"/>
        <item x="113"/>
        <item x="237"/>
        <item x="181"/>
        <item x="117"/>
        <item x="196"/>
        <item x="56"/>
        <item x="86"/>
        <item x="214"/>
        <item x="229"/>
        <item x="114"/>
        <item x="5"/>
        <item x="18"/>
        <item x="15"/>
        <item x="234"/>
        <item x="174"/>
        <item x="213"/>
        <item x="306"/>
        <item x="145"/>
        <item x="142"/>
        <item x="248"/>
        <item x="326"/>
        <item x="48"/>
        <item x="246"/>
        <item x="312"/>
        <item x="186"/>
        <item x="284"/>
        <item x="157"/>
        <item x="316"/>
        <item x="217"/>
        <item x="293"/>
        <item x="2"/>
        <item x="140"/>
        <item x="303"/>
        <item x="288"/>
        <item x="131"/>
        <item x="257"/>
        <item x="128"/>
        <item x="161"/>
        <item x="4"/>
        <item x="285"/>
        <item x="319"/>
        <item x="94"/>
        <item x="271"/>
        <item x="148"/>
        <item x="55"/>
        <item x="87"/>
        <item x="183"/>
        <item x="208"/>
        <item x="160"/>
        <item x="220"/>
        <item x="91"/>
        <item x="282"/>
        <item x="7"/>
        <item x="253"/>
        <item x="204"/>
        <item x="23"/>
        <item x="251"/>
        <item x="24"/>
        <item x="241"/>
        <item x="307"/>
        <item x="153"/>
        <item x="6"/>
        <item x="20"/>
        <item x="101"/>
        <item x="329"/>
        <item x="216"/>
        <item x="228"/>
        <item x="184"/>
        <item x="31"/>
        <item x="118"/>
        <item x="33"/>
        <item x="34"/>
        <item x="116"/>
        <item x="40"/>
        <item x="159"/>
        <item x="296"/>
        <item x="211"/>
        <item x="254"/>
        <item x="133"/>
        <item x="178"/>
        <item x="239"/>
        <item x="298"/>
        <item x="120"/>
        <item x="125"/>
        <item x="29"/>
        <item x="21"/>
        <item x="171"/>
        <item x="274"/>
        <item x="79"/>
        <item x="325"/>
        <item x="286"/>
        <item x="262"/>
        <item x="90"/>
        <item x="64"/>
        <item x="9"/>
        <item x="255"/>
        <item x="240"/>
        <item x="264"/>
        <item x="43"/>
        <item x="1"/>
        <item x="16"/>
        <item x="123"/>
        <item x="75"/>
        <item x="297"/>
        <item x="19"/>
        <item x="47"/>
        <item x="195"/>
        <item x="215"/>
        <item x="107"/>
        <item x="115"/>
        <item x="165"/>
        <item x="103"/>
        <item x="299"/>
        <item x="219"/>
        <item x="198"/>
        <item x="54"/>
        <item x="106"/>
        <item x="238"/>
        <item x="250"/>
        <item x="308"/>
        <item x="42"/>
        <item x="46"/>
        <item x="146"/>
        <item x="202"/>
        <item x="247"/>
        <item x="119"/>
        <item x="14"/>
        <item x="278"/>
        <item x="205"/>
        <item x="147"/>
        <item x="256"/>
        <item x="26"/>
        <item x="223"/>
        <item x="236"/>
        <item x="173"/>
        <item x="67"/>
        <item x="180"/>
        <item x="327"/>
        <item x="12"/>
        <item x="259"/>
        <item x="200"/>
        <item x="27"/>
        <item x="53"/>
        <item x="290"/>
        <item x="261"/>
        <item x="279"/>
        <item x="233"/>
        <item x="38"/>
        <item x="122"/>
        <item x="68"/>
        <item x="324"/>
        <item x="121"/>
        <item x="39"/>
        <item x="209"/>
        <item x="59"/>
        <item x="321"/>
        <item x="210"/>
        <item x="129"/>
        <item x="227"/>
        <item x="295"/>
        <item x="166"/>
        <item x="71"/>
        <item x="130"/>
        <item x="323"/>
        <item x="320"/>
        <item x="311"/>
        <item x="263"/>
        <item x="100"/>
        <item x="49"/>
        <item x="152"/>
        <item x="305"/>
        <item x="221"/>
        <item x="45"/>
        <item x="315"/>
        <item x="37"/>
        <item x="156"/>
        <item x="63"/>
        <item x="167"/>
        <item x="242"/>
        <item x="143"/>
        <item x="149"/>
        <item x="151"/>
        <item x="185"/>
        <item x="136"/>
        <item x="172"/>
        <item x="70"/>
        <item x="281"/>
        <item x="310"/>
        <item x="291"/>
        <item x="267"/>
        <item x="212"/>
        <item x="66"/>
        <item x="294"/>
        <item x="0"/>
        <item x="187"/>
        <item x="92"/>
        <item x="150"/>
        <item x="32"/>
        <item x="322"/>
        <item x="35"/>
        <item x="74"/>
        <item x="82"/>
        <item x="313"/>
        <item x="201"/>
        <item x="109"/>
        <item x="138"/>
        <item x="88"/>
        <item x="164"/>
        <item x="317"/>
        <item x="22"/>
        <item x="226"/>
        <item x="80"/>
        <item x="230"/>
        <item x="77"/>
        <item x="301"/>
        <item x="52"/>
        <item x="258"/>
        <item x="265"/>
        <item x="292"/>
        <item x="232"/>
        <item x="97"/>
        <item x="266"/>
        <item x="3"/>
        <item x="85"/>
        <item x="76"/>
        <item x="62"/>
        <item x="193"/>
        <item x="207"/>
        <item x="83"/>
        <item x="197"/>
        <item x="112"/>
        <item x="61"/>
        <item x="328"/>
        <item x="283"/>
        <item x="141"/>
        <item x="222"/>
        <item x="25"/>
        <item x="104"/>
        <item x="89"/>
        <item x="65"/>
        <item x="60"/>
        <item x="28"/>
        <item x="137"/>
        <item x="108"/>
        <item x="245"/>
        <item x="175"/>
        <item x="163"/>
        <item x="36"/>
        <item x="50"/>
        <item x="111"/>
        <item x="58"/>
        <item x="182"/>
        <item x="158"/>
        <item x="188"/>
        <item x="231"/>
        <item x="110"/>
        <item x="199"/>
        <item x="139"/>
        <item x="309"/>
        <item x="170"/>
        <item x="126"/>
        <item x="8"/>
        <item x="318"/>
        <item x="132"/>
        <item x="98"/>
        <item x="225"/>
        <item t="default"/>
      </items>
    </pivotField>
    <pivotField numFmtId="14" showAll="0"/>
    <pivotField showAll="0">
      <items count="330">
        <item x="153"/>
        <item x="309"/>
        <item x="188"/>
        <item x="231"/>
        <item x="239"/>
        <item x="218"/>
        <item x="70"/>
        <item x="132"/>
        <item x="83"/>
        <item x="267"/>
        <item x="122"/>
        <item x="40"/>
        <item x="141"/>
        <item x="107"/>
        <item x="328"/>
        <item x="9"/>
        <item x="80"/>
        <item x="94"/>
        <item x="63"/>
        <item x="148"/>
        <item x="55"/>
        <item x="294"/>
        <item x="250"/>
        <item x="234"/>
        <item x="125"/>
        <item x="263"/>
        <item x="282"/>
        <item x="173"/>
        <item x="175"/>
        <item x="214"/>
        <item x="68"/>
        <item x="311"/>
        <item x="279"/>
        <item x="190"/>
        <item x="12"/>
        <item x="293"/>
        <item x="193"/>
        <item x="91"/>
        <item x="266"/>
        <item x="42"/>
        <item x="98"/>
        <item x="110"/>
        <item x="154"/>
        <item x="215"/>
        <item x="316"/>
        <item x="177"/>
        <item x="235"/>
        <item x="104"/>
        <item x="260"/>
        <item x="10"/>
        <item x="16"/>
        <item x="30"/>
        <item x="74"/>
        <item x="224"/>
        <item x="89"/>
        <item x="226"/>
        <item x="17"/>
        <item x="166"/>
        <item x="34"/>
        <item x="296"/>
        <item x="264"/>
        <item x="312"/>
        <item x="205"/>
        <item x="65"/>
        <item x="198"/>
        <item x="115"/>
        <item x="5"/>
        <item x="51"/>
        <item x="180"/>
        <item x="257"/>
        <item x="228"/>
        <item x="308"/>
        <item x="274"/>
        <item x="203"/>
        <item x="275"/>
        <item x="111"/>
        <item x="14"/>
        <item x="155"/>
        <item x="217"/>
        <item x="174"/>
        <item x="238"/>
        <item x="241"/>
        <item x="46"/>
        <item x="39"/>
        <item x="237"/>
        <item x="201"/>
        <item x="255"/>
        <item x="129"/>
        <item x="135"/>
        <item x="171"/>
        <item x="243"/>
        <item x="251"/>
        <item x="156"/>
        <item x="270"/>
        <item x="138"/>
        <item x="4"/>
        <item x="194"/>
        <item x="161"/>
        <item x="317"/>
        <item x="84"/>
        <item x="2"/>
        <item x="240"/>
        <item x="139"/>
        <item x="271"/>
        <item x="87"/>
        <item x="320"/>
        <item x="77"/>
        <item x="210"/>
        <item x="295"/>
        <item x="164"/>
        <item x="284"/>
        <item x="117"/>
        <item x="233"/>
        <item x="152"/>
        <item x="54"/>
        <item x="7"/>
        <item x="200"/>
        <item x="183"/>
        <item x="159"/>
        <item x="223"/>
        <item x="207"/>
        <item x="47"/>
        <item x="247"/>
        <item x="18"/>
        <item x="140"/>
        <item x="21"/>
        <item x="304"/>
        <item x="22"/>
        <item x="272"/>
        <item x="289"/>
        <item x="32"/>
        <item x="222"/>
        <item x="220"/>
        <item x="62"/>
        <item x="321"/>
        <item x="302"/>
        <item x="176"/>
        <item x="258"/>
        <item x="192"/>
        <item x="76"/>
        <item x="206"/>
        <item x="158"/>
        <item x="229"/>
        <item x="252"/>
        <item x="19"/>
        <item x="86"/>
        <item x="191"/>
        <item x="265"/>
        <item x="28"/>
        <item x="315"/>
        <item x="288"/>
        <item x="118"/>
        <item x="131"/>
        <item x="45"/>
        <item x="169"/>
        <item x="208"/>
        <item x="292"/>
        <item x="145"/>
        <item x="29"/>
        <item x="325"/>
        <item x="253"/>
        <item x="72"/>
        <item x="106"/>
        <item x="300"/>
        <item x="313"/>
        <item x="276"/>
        <item x="99"/>
        <item x="324"/>
        <item x="61"/>
        <item x="170"/>
        <item x="1"/>
        <item x="121"/>
        <item x="305"/>
        <item x="163"/>
        <item x="151"/>
        <item x="15"/>
        <item x="116"/>
        <item x="41"/>
        <item x="100"/>
        <item x="123"/>
        <item x="44"/>
        <item x="143"/>
        <item x="246"/>
        <item x="287"/>
        <item x="144"/>
        <item x="13"/>
        <item x="254"/>
        <item x="113"/>
        <item x="197"/>
        <item x="179"/>
        <item x="326"/>
        <item x="280"/>
        <item x="105"/>
        <item x="101"/>
        <item x="261"/>
        <item x="213"/>
        <item x="269"/>
        <item x="249"/>
        <item x="307"/>
        <item x="182"/>
        <item x="24"/>
        <item x="178"/>
        <item x="11"/>
        <item x="119"/>
        <item x="327"/>
        <item x="299"/>
        <item x="38"/>
        <item x="53"/>
        <item x="58"/>
        <item x="90"/>
        <item x="37"/>
        <item x="303"/>
        <item x="64"/>
        <item x="49"/>
        <item x="221"/>
        <item x="225"/>
        <item x="26"/>
        <item x="127"/>
        <item x="189"/>
        <item x="301"/>
        <item x="262"/>
        <item x="209"/>
        <item x="95"/>
        <item x="242"/>
        <item x="67"/>
        <item x="314"/>
        <item x="150"/>
        <item x="248"/>
        <item x="277"/>
        <item x="36"/>
        <item x="212"/>
        <item x="204"/>
        <item x="142"/>
        <item x="103"/>
        <item x="160"/>
        <item x="75"/>
        <item x="126"/>
        <item x="319"/>
        <item x="128"/>
        <item x="137"/>
        <item x="43"/>
        <item x="219"/>
        <item x="298"/>
        <item x="66"/>
        <item x="133"/>
        <item x="172"/>
        <item x="186"/>
        <item x="25"/>
        <item x="147"/>
        <item x="93"/>
        <item x="79"/>
        <item x="290"/>
        <item x="310"/>
        <item x="0"/>
        <item x="88"/>
        <item x="33"/>
        <item x="256"/>
        <item x="57"/>
        <item x="259"/>
        <item x="297"/>
        <item x="322"/>
        <item x="31"/>
        <item x="81"/>
        <item x="196"/>
        <item x="278"/>
        <item x="146"/>
        <item x="71"/>
        <item x="20"/>
        <item x="134"/>
        <item x="85"/>
        <item x="3"/>
        <item x="112"/>
        <item x="78"/>
        <item x="281"/>
        <item x="52"/>
        <item x="230"/>
        <item x="291"/>
        <item x="184"/>
        <item x="102"/>
        <item x="136"/>
        <item x="162"/>
        <item x="157"/>
        <item x="187"/>
        <item x="149"/>
        <item x="97"/>
        <item x="244"/>
        <item x="199"/>
        <item x="120"/>
        <item x="82"/>
        <item x="35"/>
        <item x="96"/>
        <item x="59"/>
        <item x="227"/>
        <item x="232"/>
        <item x="306"/>
        <item x="50"/>
        <item x="60"/>
        <item x="165"/>
        <item x="202"/>
        <item x="167"/>
        <item x="73"/>
        <item x="285"/>
        <item x="108"/>
        <item x="211"/>
        <item x="48"/>
        <item x="114"/>
        <item x="69"/>
        <item x="23"/>
        <item x="56"/>
        <item x="283"/>
        <item x="109"/>
        <item x="236"/>
        <item x="323"/>
        <item x="318"/>
        <item x="168"/>
        <item x="268"/>
        <item x="195"/>
        <item x="185"/>
        <item x="130"/>
        <item x="286"/>
        <item x="124"/>
        <item x="216"/>
        <item x="27"/>
        <item x="8"/>
        <item x="273"/>
        <item x="245"/>
        <item x="181"/>
        <item x="92"/>
        <item x="6"/>
        <item t="default"/>
      </items>
    </pivotField>
    <pivotField showAll="0">
      <items count="134">
        <item x="79"/>
        <item x="121"/>
        <item x="116"/>
        <item x="123"/>
        <item x="86"/>
        <item x="126"/>
        <item x="114"/>
        <item x="57"/>
        <item x="50"/>
        <item x="83"/>
        <item x="13"/>
        <item x="122"/>
        <item x="37"/>
        <item x="18"/>
        <item x="23"/>
        <item x="87"/>
        <item x="6"/>
        <item x="105"/>
        <item x="70"/>
        <item x="45"/>
        <item x="73"/>
        <item x="16"/>
        <item x="38"/>
        <item x="52"/>
        <item x="93"/>
        <item x="40"/>
        <item x="101"/>
        <item x="53"/>
        <item x="7"/>
        <item x="64"/>
        <item x="74"/>
        <item x="112"/>
        <item x="48"/>
        <item x="113"/>
        <item x="106"/>
        <item x="124"/>
        <item x="97"/>
        <item x="24"/>
        <item x="42"/>
        <item x="68"/>
        <item x="84"/>
        <item x="58"/>
        <item x="67"/>
        <item x="22"/>
        <item x="104"/>
        <item x="39"/>
        <item x="17"/>
        <item x="26"/>
        <item x="81"/>
        <item x="75"/>
        <item x="89"/>
        <item x="120"/>
        <item x="60"/>
        <item x="85"/>
        <item x="82"/>
        <item x="36"/>
        <item x="128"/>
        <item x="28"/>
        <item x="4"/>
        <item x="54"/>
        <item x="108"/>
        <item x="90"/>
        <item x="98"/>
        <item x="8"/>
        <item x="25"/>
        <item x="47"/>
        <item x="31"/>
        <item x="110"/>
        <item x="20"/>
        <item x="33"/>
        <item x="1"/>
        <item x="107"/>
        <item x="78"/>
        <item x="118"/>
        <item x="61"/>
        <item x="49"/>
        <item x="94"/>
        <item x="65"/>
        <item x="43"/>
        <item x="5"/>
        <item x="30"/>
        <item x="99"/>
        <item x="62"/>
        <item x="77"/>
        <item x="80"/>
        <item x="100"/>
        <item x="95"/>
        <item x="91"/>
        <item x="72"/>
        <item x="34"/>
        <item x="119"/>
        <item x="14"/>
        <item x="131"/>
        <item x="96"/>
        <item x="32"/>
        <item x="15"/>
        <item x="27"/>
        <item x="127"/>
        <item x="21"/>
        <item x="92"/>
        <item x="46"/>
        <item x="9"/>
        <item x="63"/>
        <item x="103"/>
        <item x="51"/>
        <item x="55"/>
        <item x="125"/>
        <item x="111"/>
        <item x="41"/>
        <item x="29"/>
        <item x="130"/>
        <item x="19"/>
        <item x="129"/>
        <item x="11"/>
        <item x="35"/>
        <item x="56"/>
        <item x="12"/>
        <item x="59"/>
        <item x="69"/>
        <item x="66"/>
        <item x="109"/>
        <item x="132"/>
        <item x="115"/>
        <item x="76"/>
        <item x="117"/>
        <item x="71"/>
        <item x="10"/>
        <item x="44"/>
        <item x="102"/>
        <item x="2"/>
        <item x="88"/>
        <item x="3"/>
        <item x="0"/>
        <item t="default"/>
      </items>
    </pivotField>
    <pivotField numFmtId="165" showAll="0"/>
    <pivotField numFmtId="165" showAll="0"/>
    <pivotField numFmtId="165" showAll="0"/>
    <pivotField showAll="0"/>
    <pivotField showAll="0"/>
    <pivotField showAll="0"/>
    <pivotField numFmtId="165"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Items count="1">
    <i/>
  </colItems>
  <dataFields count="1">
    <dataField name="Contagem de projeto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rea" xr10:uid="{631BF05C-2159-4FA5-BF74-134BF9D2967D}" sourceName="area">
  <pivotTables>
    <pivotTable tabId="8" name="Tabela dinâmica2"/>
    <pivotTable tabId="8" name="Tabela dinâmica3"/>
    <pivotTable tabId="8" name="Tabela dinâmica4"/>
    <pivotTable tabId="8" name="Tabela dinâmica5"/>
    <pivotTable tabId="8" name="Tabela dinâmica7"/>
    <pivotTable tabId="8" name="Tabela dinâmica9"/>
    <pivotTable tabId="8" name="Tabela dinâmica10"/>
    <pivotTable tabId="8" name="Tabela dinâmica12"/>
    <pivotTable tabId="8" name="Tabela dinâmica13"/>
    <pivotTable tabId="8" name="Tabela dinâmica14"/>
  </pivotTables>
  <data>
    <tabular pivotCacheId="846721177">
      <items count="10">
        <i x="4" s="1"/>
        <i x="5"/>
        <i x="1"/>
        <i x="6"/>
        <i x="2"/>
        <i x="7"/>
        <i x="3"/>
        <i x="0"/>
        <i x="8"/>
        <i x="9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rea" xr10:uid="{852AECC5-2CE4-49A7-AB76-8B96F1B400AF}" cache="SegmentaçãodeDados_area" caption="area" rowHeight="4320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30A652-4237-4EA6-A9E4-1FF9FE4BDE7E}" name="Tabela1" displayName="Tabela1" ref="A1:Q1001" totalsRowShown="0">
  <autoFilter ref="A1:Q1001" xr:uid="{5D30A652-4237-4EA6-A9E4-1FF9FE4BDE7E}"/>
  <tableColumns count="17">
    <tableColumn id="1" xr3:uid="{3774C67E-3A3F-4FE7-8A3B-687E6A034320}" name="projeto_id"/>
    <tableColumn id="2" xr3:uid="{44E16349-0E41-4751-A0C4-DA9304009E63}" name="nome_projeto"/>
    <tableColumn id="3" xr3:uid="{53977920-E860-408C-9721-61606F5C1B12}" name="descricao_curta"/>
    <tableColumn id="4" xr3:uid="{F3DD2D63-69F3-4E2D-9FC4-8531BBAD599F}" name="area"/>
    <tableColumn id="5" xr3:uid="{5C947AAC-B9FC-4AE3-8F07-C52B2510C166}" name="prioridade"/>
    <tableColumn id="6" xr3:uid="{C002EACC-528D-46C3-84BC-72A02A95BEE6}" name="data_inicio_planejada" dataDxfId="8"/>
    <tableColumn id="7" xr3:uid="{7A39B1E3-965B-424B-AFC7-81A2D8A306A3}" name="data_fim_planejada" dataDxfId="7"/>
    <tableColumn id="8" xr3:uid="{9766229A-31DD-4DF7-A218-965A04E32952}" name="data_inicio_real" dataDxfId="6"/>
    <tableColumn id="9" xr3:uid="{46412057-5393-4385-A211-35CF145B3D4A}" name="data_fim_real" dataDxfId="5"/>
    <tableColumn id="10" xr3:uid="{8C38E12B-7B84-48C4-A060-393B8034814A}" name="orcamento_aprovado" dataDxfId="4"/>
    <tableColumn id="11" xr3:uid="{40C53414-B0F0-4BDC-BE10-4906DFC09B8E}" name="custo_real_acumulado" dataDxfId="3"/>
    <tableColumn id="12" xr3:uid="{E8BFAEBC-D44D-4555-B4B2-CFEB49ADB8D9}" name="beneficio_esperado_anual" dataDxfId="2"/>
    <tableColumn id="13" xr3:uid="{21AECC6A-4C65-437C-AFD1-DD6719F7FC6E}" name="capacidade_planejada_horas"/>
    <tableColumn id="14" xr3:uid="{E2C95BA5-9EA5-4DB5-BFC1-E37449EE24E2}" name="horas_consumidas"/>
    <tableColumn id="15" xr3:uid="{D2F21B6E-D5D9-42D5-8CA6-1797EE5C24BB}" name="modelo_execucao"/>
    <tableColumn id="16385" xr3:uid="{D118B608-0E75-4665-B3B5-E36E4B12CEB2}" name="Saldo" dataDxfId="1">
      <calculatedColumnFormula>Tabela1[[#This Row],[orcamento_aprovado]]-Tabela1[[#This Row],[custo_real_acumulado]]</calculatedColumnFormula>
    </tableColumn>
    <tableColumn id="16386" xr3:uid="{1942224C-0CB2-4ADB-AB43-775D471E6D4D}" name="Prazo" dataDxfId="0">
      <calculatedColumnFormula>IF(Tabela1[[#This Row],[data_fim_real]]="","",Tabela1[[#This Row],[data_fim_real]]-Tabela1[[#This Row],[data_inicio_real]])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Galeria">
  <a:themeElements>
    <a:clrScheme name="Integração">
      <a:dk1>
        <a:sysClr val="windowText" lastClr="000000"/>
      </a:dk1>
      <a:lt1>
        <a:sysClr val="window" lastClr="FFFFFF"/>
      </a:lt1>
      <a:dk2>
        <a:srgbClr val="212745"/>
      </a:dk2>
      <a:lt2>
        <a:srgbClr val="B4DCFA"/>
      </a:lt2>
      <a:accent1>
        <a:srgbClr val="4E67C8"/>
      </a:accent1>
      <a:accent2>
        <a:srgbClr val="5ECCF3"/>
      </a:accent2>
      <a:accent3>
        <a:srgbClr val="A7EA52"/>
      </a:accent3>
      <a:accent4>
        <a:srgbClr val="5DCEAF"/>
      </a:accent4>
      <a:accent5>
        <a:srgbClr val="FF8021"/>
      </a:accent5>
      <a:accent6>
        <a:srgbClr val="F14124"/>
      </a:accent6>
      <a:hlink>
        <a:srgbClr val="56C7AA"/>
      </a:hlink>
      <a:folHlink>
        <a:srgbClr val="59A8D1"/>
      </a:folHlink>
    </a:clrScheme>
    <a:fontScheme name="Galeria">
      <a:majorFont>
        <a:latin typeface="Gill Sans MT" panose="020B0502020104020203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Gill Sans MT" panose="020B0502020104020203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Galeria">
      <a:fillStyleLst>
        <a:solidFill>
          <a:schemeClr val="phClr"/>
        </a:solidFill>
        <a:gradFill rotWithShape="1">
          <a:gsLst>
            <a:gs pos="0">
              <a:schemeClr val="phClr">
                <a:tint val="54000"/>
                <a:alpha val="100000"/>
                <a:satMod val="105000"/>
                <a:lumMod val="110000"/>
              </a:schemeClr>
            </a:gs>
            <a:gs pos="100000">
              <a:schemeClr val="phClr">
                <a:tint val="78000"/>
                <a:alpha val="92000"/>
                <a:satMod val="109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satMod val="110000"/>
                <a:lumMod val="104000"/>
              </a:schemeClr>
            </a:gs>
            <a:gs pos="69000">
              <a:schemeClr val="phClr">
                <a:shade val="88000"/>
                <a:satMod val="130000"/>
                <a:lumMod val="92000"/>
              </a:schemeClr>
            </a:gs>
            <a:gs pos="100000">
              <a:schemeClr val="phClr">
                <a:shade val="78000"/>
                <a:satMod val="130000"/>
                <a:lumMod val="92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2225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0800" dist="50800" dir="5400000" sx="96000" sy="96000" rotWithShape="0">
              <a:srgbClr val="000000">
                <a:alpha val="48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1080000"/>
            </a:lightRig>
          </a:scene3d>
          <a:sp3d>
            <a:bevelT w="38100" h="12700" prst="softRound"/>
          </a:sp3d>
        </a:effectStyle>
      </a:effectStyleLst>
      <a:bgFillStyleLst>
        <a:solidFill>
          <a:schemeClr val="phClr"/>
        </a:solidFill>
        <a:solidFill>
          <a:schemeClr val="phClr"/>
        </a:solidFill>
        <a:gradFill rotWithShape="1">
          <a:gsLst>
            <a:gs pos="0">
              <a:schemeClr val="phClr">
                <a:tint val="94000"/>
                <a:satMod val="80000"/>
                <a:lumMod val="106000"/>
              </a:schemeClr>
            </a:gs>
            <a:gs pos="100000">
              <a:schemeClr val="phClr">
                <a:shade val="80000"/>
              </a:schemeClr>
            </a:gs>
          </a:gsLst>
          <a:path path="circle">
            <a:fillToRect l="43000" r="43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Gallery" id="{BBFCD31E-59A1-489D-B089-A3EAD7CAE12E}" vid="{F5E91637-A7B6-4E27-B710-77DA7014EE1E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F8750-ECC2-44AD-A316-29BC2E19A99C}">
  <dimension ref="A2:S88"/>
  <sheetViews>
    <sheetView topLeftCell="N1" workbookViewId="0">
      <selection activeCell="R2" sqref="R2"/>
    </sheetView>
  </sheetViews>
  <sheetFormatPr defaultRowHeight="14.5" x14ac:dyDescent="0.5"/>
  <cols>
    <col min="1" max="1" width="34.1796875" bestFit="1" customWidth="1"/>
    <col min="4" max="4" width="18.90625" bestFit="1" customWidth="1"/>
    <col min="5" max="5" width="30.1796875" bestFit="1" customWidth="1"/>
    <col min="6" max="6" width="31" bestFit="1" customWidth="1"/>
    <col min="7" max="7" width="15.36328125" bestFit="1" customWidth="1"/>
    <col min="9" max="9" width="18.90625" bestFit="1" customWidth="1"/>
    <col min="10" max="10" width="24.1796875" bestFit="1" customWidth="1"/>
    <col min="11" max="11" width="15.54296875" customWidth="1"/>
    <col min="12" max="12" width="18.90625" bestFit="1" customWidth="1"/>
    <col min="13" max="13" width="15.36328125" bestFit="1" customWidth="1"/>
    <col min="14" max="14" width="32.7265625" customWidth="1"/>
    <col min="15" max="15" width="46.1796875" bestFit="1" customWidth="1"/>
    <col min="16" max="16" width="15.36328125" bestFit="1" customWidth="1"/>
    <col min="18" max="18" width="45.08984375" bestFit="1" customWidth="1"/>
    <col min="19" max="19" width="15.36328125" bestFit="1" customWidth="1"/>
  </cols>
  <sheetData>
    <row r="2" spans="1:19" ht="16.5" x14ac:dyDescent="0.5">
      <c r="A2">
        <f>A4</f>
        <v>106</v>
      </c>
      <c r="D2" s="4" t="s">
        <v>2282</v>
      </c>
      <c r="E2" t="s">
        <v>2276</v>
      </c>
      <c r="F2" t="s">
        <v>2277</v>
      </c>
      <c r="G2" t="s">
        <v>2281</v>
      </c>
      <c r="I2" s="4" t="s">
        <v>2282</v>
      </c>
      <c r="J2" t="s">
        <v>2296</v>
      </c>
      <c r="L2" s="4" t="s">
        <v>2282</v>
      </c>
      <c r="M2" t="s">
        <v>2298</v>
      </c>
      <c r="O2" s="4" t="s">
        <v>2282</v>
      </c>
      <c r="P2" t="s">
        <v>2298</v>
      </c>
      <c r="R2" s="4" t="s">
        <v>2282</v>
      </c>
      <c r="S2" t="s">
        <v>2298</v>
      </c>
    </row>
    <row r="3" spans="1:19" ht="16.5" x14ac:dyDescent="0.5">
      <c r="A3" t="s">
        <v>2273</v>
      </c>
      <c r="D3" s="8" t="s">
        <v>2284</v>
      </c>
      <c r="E3" s="2">
        <v>1731588.3199999998</v>
      </c>
      <c r="F3" s="2">
        <v>955626.03</v>
      </c>
      <c r="G3" s="2">
        <v>775962.29</v>
      </c>
      <c r="I3" s="8" t="s">
        <v>19</v>
      </c>
      <c r="J3" s="3">
        <v>26</v>
      </c>
      <c r="L3" s="8" t="s">
        <v>2284</v>
      </c>
      <c r="M3" s="9">
        <v>97</v>
      </c>
      <c r="O3" s="8" t="s">
        <v>132</v>
      </c>
      <c r="P3" s="9">
        <v>126</v>
      </c>
      <c r="R3" s="8" t="s">
        <v>395</v>
      </c>
      <c r="S3" s="9">
        <v>23</v>
      </c>
    </row>
    <row r="4" spans="1:19" ht="16.5" x14ac:dyDescent="0.5">
      <c r="A4" s="3">
        <v>106</v>
      </c>
      <c r="D4" s="8" t="s">
        <v>2285</v>
      </c>
      <c r="E4" s="2">
        <v>1458437.6</v>
      </c>
      <c r="F4" s="2">
        <v>1056271.6499999999</v>
      </c>
      <c r="G4" s="2">
        <v>402165.94999999995</v>
      </c>
      <c r="I4" s="8" t="s">
        <v>20</v>
      </c>
      <c r="J4" s="3">
        <v>35</v>
      </c>
      <c r="L4" s="8" t="s">
        <v>2285</v>
      </c>
      <c r="M4" s="9">
        <v>97</v>
      </c>
      <c r="O4" s="8" t="s">
        <v>578</v>
      </c>
      <c r="P4" s="9">
        <v>109</v>
      </c>
      <c r="R4" s="8" t="s">
        <v>148</v>
      </c>
      <c r="S4" s="9">
        <v>34</v>
      </c>
    </row>
    <row r="5" spans="1:19" ht="16.5" x14ac:dyDescent="0.5">
      <c r="D5" s="8" t="s">
        <v>2286</v>
      </c>
      <c r="E5" s="2">
        <v>2004230.3699999999</v>
      </c>
      <c r="F5" s="2">
        <v>1163996.0399999998</v>
      </c>
      <c r="G5" s="2">
        <v>840234.33000000007</v>
      </c>
      <c r="I5" s="8" t="s">
        <v>42</v>
      </c>
      <c r="J5" s="3">
        <v>12</v>
      </c>
      <c r="L5" s="8" t="s">
        <v>2286</v>
      </c>
      <c r="M5" s="9">
        <v>80.5</v>
      </c>
      <c r="O5" s="8" t="s">
        <v>622</v>
      </c>
      <c r="P5" s="9">
        <v>104</v>
      </c>
      <c r="R5" s="8" t="s">
        <v>512</v>
      </c>
      <c r="S5" s="9">
        <v>59</v>
      </c>
    </row>
    <row r="6" spans="1:19" ht="16.5" x14ac:dyDescent="0.5">
      <c r="A6">
        <f>A8</f>
        <v>21</v>
      </c>
      <c r="D6" s="8" t="s">
        <v>2287</v>
      </c>
      <c r="E6" s="2">
        <v>1076178.04</v>
      </c>
      <c r="F6" s="2">
        <v>369609.49</v>
      </c>
      <c r="G6" s="2">
        <v>706568.55</v>
      </c>
      <c r="I6" s="8" t="s">
        <v>43</v>
      </c>
      <c r="J6" s="3">
        <v>33</v>
      </c>
      <c r="L6" s="8" t="s">
        <v>2287</v>
      </c>
      <c r="M6" s="9">
        <v>74</v>
      </c>
      <c r="O6" s="8" t="s">
        <v>587</v>
      </c>
      <c r="P6" s="9">
        <v>97</v>
      </c>
      <c r="R6" s="8" t="s">
        <v>748</v>
      </c>
      <c r="S6" s="9">
        <v>40</v>
      </c>
    </row>
    <row r="7" spans="1:19" ht="16.5" x14ac:dyDescent="0.5">
      <c r="A7" t="s">
        <v>2274</v>
      </c>
      <c r="D7" s="8" t="s">
        <v>2288</v>
      </c>
      <c r="E7" s="2">
        <v>850897.88</v>
      </c>
      <c r="F7" s="2">
        <v>142645.91</v>
      </c>
      <c r="G7" s="2">
        <v>708251.97000000009</v>
      </c>
      <c r="I7" s="8" t="s">
        <v>2283</v>
      </c>
      <c r="J7" s="3">
        <v>106</v>
      </c>
      <c r="L7" s="8" t="s">
        <v>2288</v>
      </c>
      <c r="M7" s="9">
        <v>72</v>
      </c>
      <c r="O7" s="8" t="s">
        <v>433</v>
      </c>
      <c r="P7" s="9">
        <v>89</v>
      </c>
      <c r="R7" s="8" t="s">
        <v>129</v>
      </c>
      <c r="S7" s="9">
        <v>74</v>
      </c>
    </row>
    <row r="8" spans="1:19" ht="16.5" x14ac:dyDescent="0.5">
      <c r="A8" s="3">
        <v>21</v>
      </c>
      <c r="D8" s="8" t="s">
        <v>2289</v>
      </c>
      <c r="E8" s="2">
        <v>1677672.36</v>
      </c>
      <c r="F8" s="2">
        <v>1009322.81</v>
      </c>
      <c r="G8" s="2">
        <v>668349.55000000005</v>
      </c>
      <c r="L8" s="8" t="s">
        <v>2289</v>
      </c>
      <c r="M8" s="9">
        <v>82</v>
      </c>
      <c r="O8" s="8" t="s">
        <v>337</v>
      </c>
      <c r="P8" s="9">
        <v>87</v>
      </c>
      <c r="R8" s="8" t="s">
        <v>92</v>
      </c>
      <c r="S8" s="9">
        <v>72</v>
      </c>
    </row>
    <row r="9" spans="1:19" ht="16.5" x14ac:dyDescent="0.5">
      <c r="D9" s="8" t="s">
        <v>2290</v>
      </c>
      <c r="E9" s="2">
        <v>775931.82</v>
      </c>
      <c r="F9" s="2">
        <v>414385.45</v>
      </c>
      <c r="G9" s="2">
        <v>361546.37</v>
      </c>
      <c r="L9" s="8" t="s">
        <v>2290</v>
      </c>
      <c r="M9" s="9">
        <v>44.5</v>
      </c>
      <c r="O9" s="8" t="s">
        <v>691</v>
      </c>
      <c r="P9" s="9">
        <v>84</v>
      </c>
      <c r="R9" s="8" t="s">
        <v>765</v>
      </c>
      <c r="S9" s="9">
        <v>55</v>
      </c>
    </row>
    <row r="10" spans="1:19" ht="16.5" x14ac:dyDescent="0.5">
      <c r="D10" s="8" t="s">
        <v>2291</v>
      </c>
      <c r="E10" s="2">
        <v>653888.4</v>
      </c>
      <c r="F10" s="2">
        <v>444691.1</v>
      </c>
      <c r="G10" s="2">
        <v>209197.3</v>
      </c>
      <c r="L10" s="8" t="s">
        <v>2291</v>
      </c>
      <c r="M10" s="9">
        <v>77</v>
      </c>
      <c r="O10" s="8" t="s">
        <v>592</v>
      </c>
      <c r="P10" s="9">
        <v>79</v>
      </c>
      <c r="R10" s="8" t="s">
        <v>555</v>
      </c>
      <c r="S10" s="9">
        <v>18</v>
      </c>
    </row>
    <row r="11" spans="1:19" ht="16.5" x14ac:dyDescent="0.5">
      <c r="A11" t="s">
        <v>2275</v>
      </c>
      <c r="D11" s="8" t="s">
        <v>2292</v>
      </c>
      <c r="E11" s="2">
        <v>510481.42000000004</v>
      </c>
      <c r="F11" s="2">
        <v>325467.93</v>
      </c>
      <c r="G11" s="2">
        <v>185013.49000000002</v>
      </c>
      <c r="L11" s="8" t="s">
        <v>2292</v>
      </c>
      <c r="M11" s="9" t="e">
        <v>#DIV/0!</v>
      </c>
      <c r="O11" s="8" t="s">
        <v>255</v>
      </c>
      <c r="P11" s="9">
        <v>77</v>
      </c>
      <c r="R11" s="8" t="s">
        <v>188</v>
      </c>
      <c r="S11" s="9">
        <v>51</v>
      </c>
    </row>
    <row r="12" spans="1:19" ht="16.5" x14ac:dyDescent="0.5">
      <c r="A12" s="5">
        <f>A8/A4</f>
        <v>0.19811320754716982</v>
      </c>
      <c r="D12" s="8" t="s">
        <v>2293</v>
      </c>
      <c r="E12" s="2">
        <v>1147282.8199999998</v>
      </c>
      <c r="F12" s="2">
        <v>509171.16999999993</v>
      </c>
      <c r="G12" s="2">
        <v>638111.65</v>
      </c>
      <c r="L12" s="8" t="s">
        <v>2293</v>
      </c>
      <c r="M12" s="9">
        <v>52.5</v>
      </c>
      <c r="O12" s="8" t="s">
        <v>288</v>
      </c>
      <c r="P12" s="9">
        <v>77</v>
      </c>
      <c r="R12" s="8" t="s">
        <v>782</v>
      </c>
      <c r="S12" s="9">
        <v>49</v>
      </c>
    </row>
    <row r="13" spans="1:19" ht="16.5" x14ac:dyDescent="0.5">
      <c r="D13" s="8" t="s">
        <v>2294</v>
      </c>
      <c r="E13" s="2">
        <v>1548753.96</v>
      </c>
      <c r="F13" s="2">
        <v>1340323.8800000001</v>
      </c>
      <c r="G13" s="2">
        <v>208430.07999999993</v>
      </c>
      <c r="L13" s="8" t="s">
        <v>2294</v>
      </c>
      <c r="M13" s="9">
        <v>46.666666666666664</v>
      </c>
      <c r="O13" s="8" t="s">
        <v>2283</v>
      </c>
      <c r="P13" s="9">
        <v>94.36363636363636</v>
      </c>
      <c r="R13" s="8" t="s">
        <v>2283</v>
      </c>
      <c r="S13" s="9">
        <v>47.5</v>
      </c>
    </row>
    <row r="14" spans="1:19" ht="16.5" x14ac:dyDescent="0.5">
      <c r="A14" s="2">
        <f>A16</f>
        <v>15254571.339999998</v>
      </c>
      <c r="D14" s="8" t="s">
        <v>2295</v>
      </c>
      <c r="E14" s="2">
        <v>1819228.35</v>
      </c>
      <c r="F14" s="2">
        <v>938973.64999999991</v>
      </c>
      <c r="G14" s="2">
        <v>880254.7</v>
      </c>
      <c r="L14" s="8" t="s">
        <v>2295</v>
      </c>
      <c r="M14" s="9" t="e">
        <v>#DIV/0!</v>
      </c>
    </row>
    <row r="15" spans="1:19" ht="16.5" x14ac:dyDescent="0.5">
      <c r="A15" t="s">
        <v>2276</v>
      </c>
      <c r="D15" s="8" t="s">
        <v>2283</v>
      </c>
      <c r="E15" s="2">
        <v>15254571.340000002</v>
      </c>
      <c r="F15" s="2">
        <v>8670485.1099999994</v>
      </c>
      <c r="G15" s="2">
        <v>6584086.2300000014</v>
      </c>
      <c r="L15" s="8" t="s">
        <v>2283</v>
      </c>
      <c r="M15" s="9">
        <v>72.047619047619051</v>
      </c>
    </row>
    <row r="16" spans="1:19" ht="16.5" x14ac:dyDescent="0.5">
      <c r="A16" s="2">
        <v>15254571.339999998</v>
      </c>
    </row>
    <row r="17" spans="1:1" ht="16.5" x14ac:dyDescent="0.5"/>
    <row r="18" spans="1:1" ht="16.5" x14ac:dyDescent="0.5">
      <c r="A18" s="2">
        <f>A20</f>
        <v>8670485.1100000013</v>
      </c>
    </row>
    <row r="19" spans="1:1" ht="16.5" x14ac:dyDescent="0.5">
      <c r="A19" t="s">
        <v>2277</v>
      </c>
    </row>
    <row r="20" spans="1:1" ht="16.5" x14ac:dyDescent="0.5">
      <c r="A20" s="2">
        <v>8670485.1100000013</v>
      </c>
    </row>
    <row r="21" spans="1:1" ht="16.5" x14ac:dyDescent="0.5"/>
    <row r="22" spans="1:1" ht="16.5" x14ac:dyDescent="0.5"/>
    <row r="23" spans="1:1" ht="16.5" x14ac:dyDescent="0.5">
      <c r="A23" t="s">
        <v>2278</v>
      </c>
    </row>
    <row r="24" spans="1:1" ht="16.5" x14ac:dyDescent="0.5">
      <c r="A24" s="2">
        <f>A16-A20</f>
        <v>6584086.2299999967</v>
      </c>
    </row>
    <row r="25" spans="1:1" ht="16.5" x14ac:dyDescent="0.5"/>
    <row r="26" spans="1:1" ht="16.5" x14ac:dyDescent="0.5">
      <c r="A26" s="2">
        <f>A28</f>
        <v>18216619.839999992</v>
      </c>
    </row>
    <row r="27" spans="1:1" ht="16.5" x14ac:dyDescent="0.5">
      <c r="A27" t="s">
        <v>2279</v>
      </c>
    </row>
    <row r="28" spans="1:1" ht="16.5" x14ac:dyDescent="0.5">
      <c r="A28" s="2">
        <v>18216619.839999992</v>
      </c>
    </row>
    <row r="29" spans="1:1" ht="16.5" x14ac:dyDescent="0.5"/>
    <row r="30" spans="1:1" ht="16.5" x14ac:dyDescent="0.5"/>
    <row r="31" spans="1:1" ht="16.5" x14ac:dyDescent="0.5">
      <c r="A31" t="s">
        <v>2280</v>
      </c>
    </row>
    <row r="32" spans="1:1" ht="16.5" x14ac:dyDescent="0.5">
      <c r="A32" s="6">
        <f>A28/A20</f>
        <v>2.100991998589568</v>
      </c>
    </row>
    <row r="33" ht="16.5" x14ac:dyDescent="0.5"/>
    <row r="34" ht="16.5" x14ac:dyDescent="0.5"/>
    <row r="35" ht="16.5" x14ac:dyDescent="0.5"/>
    <row r="36" ht="16.5" x14ac:dyDescent="0.5"/>
    <row r="37" ht="16.5" x14ac:dyDescent="0.5"/>
    <row r="38" ht="16.5" x14ac:dyDescent="0.5"/>
    <row r="39" ht="16.5" x14ac:dyDescent="0.5"/>
    <row r="40" ht="16.5" x14ac:dyDescent="0.5"/>
    <row r="41" ht="16.5" x14ac:dyDescent="0.5"/>
    <row r="42" ht="16.5" x14ac:dyDescent="0.5"/>
    <row r="43" ht="16.5" x14ac:dyDescent="0.5"/>
    <row r="44" ht="16.5" x14ac:dyDescent="0.5"/>
    <row r="45" ht="16.5" x14ac:dyDescent="0.5"/>
    <row r="46" ht="16.5" x14ac:dyDescent="0.5"/>
    <row r="47" ht="16.5" x14ac:dyDescent="0.5"/>
    <row r="48" ht="16.5" x14ac:dyDescent="0.5"/>
    <row r="49" ht="16.5" x14ac:dyDescent="0.5"/>
    <row r="50" ht="16.5" x14ac:dyDescent="0.5"/>
    <row r="51" ht="16.5" x14ac:dyDescent="0.5"/>
    <row r="52" ht="16.5" x14ac:dyDescent="0.5"/>
    <row r="53" ht="16.5" x14ac:dyDescent="0.5"/>
    <row r="54" ht="16.5" x14ac:dyDescent="0.5"/>
    <row r="55" ht="16.5" x14ac:dyDescent="0.5"/>
    <row r="56" ht="16.5" x14ac:dyDescent="0.5"/>
    <row r="57" ht="16.5" x14ac:dyDescent="0.5"/>
    <row r="58" ht="16.5" x14ac:dyDescent="0.5"/>
    <row r="59" ht="16.5" x14ac:dyDescent="0.5"/>
    <row r="60" ht="16.5" x14ac:dyDescent="0.5"/>
    <row r="61" ht="16.5" x14ac:dyDescent="0.5"/>
    <row r="62" ht="16.5" x14ac:dyDescent="0.5"/>
    <row r="63" ht="16.5" x14ac:dyDescent="0.5"/>
    <row r="64" ht="16.5" x14ac:dyDescent="0.5"/>
    <row r="65" ht="16.5" x14ac:dyDescent="0.5"/>
    <row r="66" ht="16.5" x14ac:dyDescent="0.5"/>
    <row r="67" ht="16.5" x14ac:dyDescent="0.5"/>
    <row r="68" ht="16.5" x14ac:dyDescent="0.5"/>
    <row r="69" ht="16.5" x14ac:dyDescent="0.5"/>
    <row r="70" ht="16.5" x14ac:dyDescent="0.5"/>
    <row r="71" ht="16.5" x14ac:dyDescent="0.5"/>
    <row r="72" ht="16.5" x14ac:dyDescent="0.5"/>
    <row r="73" ht="16.5" x14ac:dyDescent="0.5"/>
    <row r="74" ht="16.5" x14ac:dyDescent="0.5"/>
    <row r="75" ht="16.5" x14ac:dyDescent="0.5"/>
    <row r="76" ht="16.5" x14ac:dyDescent="0.5"/>
    <row r="77" ht="16.5" x14ac:dyDescent="0.5"/>
    <row r="78" ht="16.5" x14ac:dyDescent="0.5"/>
    <row r="79" ht="16.5" x14ac:dyDescent="0.5"/>
    <row r="80" ht="16.5" x14ac:dyDescent="0.5"/>
    <row r="81" ht="16.5" x14ac:dyDescent="0.5"/>
    <row r="82" ht="16.5" x14ac:dyDescent="0.5"/>
    <row r="83" ht="16.5" x14ac:dyDescent="0.5"/>
    <row r="84" ht="16.5" x14ac:dyDescent="0.5"/>
    <row r="85" ht="16.5" x14ac:dyDescent="0.5"/>
    <row r="86" ht="16.5" x14ac:dyDescent="0.5"/>
    <row r="87" ht="16.5" x14ac:dyDescent="0.5"/>
    <row r="88" ht="16.5" x14ac:dyDescent="0.5"/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EE7EC-AA3F-47E7-AF26-E007E2DE61FD}">
  <dimension ref="A1:Q1001"/>
  <sheetViews>
    <sheetView topLeftCell="H1" workbookViewId="0">
      <selection activeCell="Q2" sqref="Q2"/>
    </sheetView>
  </sheetViews>
  <sheetFormatPr defaultRowHeight="14.5" x14ac:dyDescent="0.5"/>
  <cols>
    <col min="1" max="1" width="11.6328125" customWidth="1"/>
    <col min="2" max="2" width="32.54296875" customWidth="1"/>
    <col min="3" max="3" width="53.81640625" customWidth="1"/>
    <col min="4" max="4" width="12.81640625" customWidth="1"/>
    <col min="5" max="5" width="11.54296875" customWidth="1"/>
    <col min="6" max="6" width="21.26953125" customWidth="1"/>
    <col min="7" max="7" width="19.6328125" customWidth="1"/>
    <col min="8" max="8" width="16.1796875" customWidth="1"/>
    <col min="9" max="9" width="14.54296875" customWidth="1"/>
    <col min="10" max="10" width="21.7265625" customWidth="1"/>
    <col min="11" max="11" width="22.7265625" customWidth="1"/>
    <col min="12" max="12" width="26.54296875" customWidth="1"/>
    <col min="13" max="13" width="27.1796875" customWidth="1"/>
    <col min="14" max="14" width="18.453125" customWidth="1"/>
    <col min="15" max="15" width="17.90625" customWidth="1"/>
    <col min="16" max="16" width="16.08984375" customWidth="1"/>
    <col min="17" max="17" width="16.1796875" customWidth="1"/>
    <col min="18" max="18" width="9.6328125" customWidth="1"/>
    <col min="19" max="24" width="10.453125" customWidth="1"/>
    <col min="25" max="114" width="11.54296875" customWidth="1"/>
    <col min="115" max="1014" width="12.6328125" customWidth="1"/>
    <col min="1015" max="10014" width="13.7265625" customWidth="1"/>
    <col min="10015" max="16384" width="14.81640625" customWidth="1"/>
  </cols>
  <sheetData>
    <row r="1" spans="1:17" ht="16.5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2278</v>
      </c>
      <c r="Q1" t="s">
        <v>2297</v>
      </c>
    </row>
    <row r="2" spans="1:17" ht="16.5" x14ac:dyDescent="0.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s="1">
        <v>46302</v>
      </c>
      <c r="G2" s="1">
        <v>46387</v>
      </c>
      <c r="H2" s="1">
        <v>46303</v>
      </c>
      <c r="I2" s="1"/>
      <c r="J2" s="2">
        <v>333842.26</v>
      </c>
      <c r="K2" s="2">
        <v>216266.12</v>
      </c>
      <c r="L2" s="2">
        <v>136995.13</v>
      </c>
      <c r="M2">
        <v>1296</v>
      </c>
      <c r="N2">
        <v>848</v>
      </c>
      <c r="O2" t="s">
        <v>21</v>
      </c>
      <c r="P2" s="2">
        <f>Tabela1[[#This Row],[orcamento_aprovado]]-Tabela1[[#This Row],[custo_real_acumulado]]</f>
        <v>117576.14000000001</v>
      </c>
      <c r="Q2" t="str">
        <f>IF(Tabela1[[#This Row],[data_fim_real]]="","",Tabela1[[#This Row],[data_fim_real]]-Tabela1[[#This Row],[data_inicio_real]])</f>
        <v/>
      </c>
    </row>
    <row r="3" spans="1:17" ht="16.5" x14ac:dyDescent="0.5">
      <c r="A3" t="s">
        <v>22</v>
      </c>
      <c r="B3" t="s">
        <v>23</v>
      </c>
      <c r="C3" t="s">
        <v>24</v>
      </c>
      <c r="D3" t="s">
        <v>25</v>
      </c>
      <c r="E3" t="s">
        <v>19</v>
      </c>
      <c r="F3" s="1">
        <v>46197</v>
      </c>
      <c r="G3" s="1">
        <v>46211</v>
      </c>
      <c r="H3" s="1">
        <v>46209</v>
      </c>
      <c r="I3" s="1">
        <v>46246</v>
      </c>
      <c r="J3" s="2">
        <v>50000</v>
      </c>
      <c r="K3" s="2">
        <v>45289.88</v>
      </c>
      <c r="L3" s="2">
        <v>42753.74</v>
      </c>
      <c r="M3">
        <v>296</v>
      </c>
      <c r="N3">
        <v>309</v>
      </c>
      <c r="O3" t="s">
        <v>26</v>
      </c>
      <c r="P3" s="2">
        <f>Tabela1[[#This Row],[orcamento_aprovado]]-Tabela1[[#This Row],[custo_real_acumulado]]</f>
        <v>4710.1200000000026</v>
      </c>
      <c r="Q3">
        <f>IF(Tabela1[[#This Row],[data_fim_real]]="","",Tabela1[[#This Row],[data_fim_real]]-Tabela1[[#This Row],[data_inicio_real]])</f>
        <v>37</v>
      </c>
    </row>
    <row r="4" spans="1:17" ht="16.5" x14ac:dyDescent="0.5">
      <c r="A4" t="s">
        <v>27</v>
      </c>
      <c r="B4" t="s">
        <v>28</v>
      </c>
      <c r="C4" t="s">
        <v>29</v>
      </c>
      <c r="D4" t="s">
        <v>18</v>
      </c>
      <c r="E4" t="s">
        <v>20</v>
      </c>
      <c r="F4" s="1">
        <v>46121</v>
      </c>
      <c r="G4" s="1">
        <v>46174</v>
      </c>
      <c r="H4" s="1">
        <v>46133</v>
      </c>
      <c r="I4" s="1"/>
      <c r="J4" s="2">
        <v>59370.47</v>
      </c>
      <c r="K4" s="2">
        <v>39596.519999999997</v>
      </c>
      <c r="L4" s="2">
        <v>73669.02</v>
      </c>
      <c r="M4">
        <v>2791</v>
      </c>
      <c r="N4">
        <v>1516</v>
      </c>
      <c r="O4" t="s">
        <v>34</v>
      </c>
      <c r="P4" s="2">
        <f>Tabela1[[#This Row],[orcamento_aprovado]]-Tabela1[[#This Row],[custo_real_acumulado]]</f>
        <v>19773.950000000004</v>
      </c>
      <c r="Q4" t="str">
        <f>IF(Tabela1[[#This Row],[data_fim_real]]="","",Tabela1[[#This Row],[data_fim_real]]-Tabela1[[#This Row],[data_inicio_real]])</f>
        <v/>
      </c>
    </row>
    <row r="5" spans="1:17" ht="16.5" x14ac:dyDescent="0.5">
      <c r="A5" t="s">
        <v>30</v>
      </c>
      <c r="B5" t="s">
        <v>31</v>
      </c>
      <c r="C5" t="s">
        <v>32</v>
      </c>
      <c r="D5" t="s">
        <v>33</v>
      </c>
      <c r="E5" t="s">
        <v>20</v>
      </c>
      <c r="F5" s="1">
        <v>46334</v>
      </c>
      <c r="G5" s="1">
        <v>46373</v>
      </c>
      <c r="H5" s="1">
        <v>46322</v>
      </c>
      <c r="I5" s="1">
        <v>46383</v>
      </c>
      <c r="J5" s="2">
        <v>64182.55</v>
      </c>
      <c r="K5" s="2">
        <v>63714.1</v>
      </c>
      <c r="L5" s="2">
        <v>53513.84</v>
      </c>
      <c r="M5">
        <v>1828</v>
      </c>
      <c r="N5">
        <v>2026</v>
      </c>
      <c r="O5" t="s">
        <v>21</v>
      </c>
      <c r="P5" s="2">
        <f>Tabela1[[#This Row],[orcamento_aprovado]]-Tabela1[[#This Row],[custo_real_acumulado]]</f>
        <v>468.45000000000437</v>
      </c>
      <c r="Q5">
        <f>IF(Tabela1[[#This Row],[data_fim_real]]="","",Tabela1[[#This Row],[data_fim_real]]-Tabela1[[#This Row],[data_inicio_real]])</f>
        <v>61</v>
      </c>
    </row>
    <row r="6" spans="1:17" ht="16.5" x14ac:dyDescent="0.5">
      <c r="A6" t="s">
        <v>35</v>
      </c>
      <c r="B6" t="s">
        <v>36</v>
      </c>
      <c r="C6" t="s">
        <v>37</v>
      </c>
      <c r="D6" t="s">
        <v>38</v>
      </c>
      <c r="E6" t="s">
        <v>20</v>
      </c>
      <c r="F6" s="1">
        <v>46131</v>
      </c>
      <c r="G6" s="1">
        <v>46198</v>
      </c>
      <c r="H6" s="1">
        <v>46128</v>
      </c>
      <c r="I6" s="1"/>
      <c r="J6" s="2">
        <v>237926.62</v>
      </c>
      <c r="K6" s="2">
        <v>24994.38</v>
      </c>
      <c r="L6" s="2">
        <v>218380.55</v>
      </c>
      <c r="M6">
        <v>2523</v>
      </c>
      <c r="N6">
        <v>336</v>
      </c>
      <c r="O6" t="s">
        <v>26</v>
      </c>
      <c r="P6" s="2">
        <f>Tabela1[[#This Row],[orcamento_aprovado]]-Tabela1[[#This Row],[custo_real_acumulado]]</f>
        <v>212932.24</v>
      </c>
      <c r="Q6" t="str">
        <f>IF(Tabela1[[#This Row],[data_fim_real]]="","",Tabela1[[#This Row],[data_fim_real]]-Tabela1[[#This Row],[data_inicio_real]])</f>
        <v/>
      </c>
    </row>
    <row r="7" spans="1:17" ht="16.5" x14ac:dyDescent="0.5">
      <c r="A7" t="s">
        <v>39</v>
      </c>
      <c r="B7" t="s">
        <v>40</v>
      </c>
      <c r="C7" t="s">
        <v>41</v>
      </c>
      <c r="D7" t="s">
        <v>33</v>
      </c>
      <c r="E7" t="s">
        <v>42</v>
      </c>
      <c r="F7" s="1">
        <v>46101</v>
      </c>
      <c r="G7" s="1">
        <v>46281</v>
      </c>
      <c r="H7" s="1">
        <v>46095</v>
      </c>
      <c r="I7" s="1"/>
      <c r="J7" s="2">
        <v>94024.320000000007</v>
      </c>
      <c r="K7" s="2">
        <v>33591.379999999997</v>
      </c>
      <c r="L7" s="2">
        <v>141899.6</v>
      </c>
      <c r="M7">
        <v>4424</v>
      </c>
      <c r="N7">
        <v>1621</v>
      </c>
      <c r="O7" t="s">
        <v>34</v>
      </c>
      <c r="P7" s="2">
        <f>Tabela1[[#This Row],[orcamento_aprovado]]-Tabela1[[#This Row],[custo_real_acumulado]]</f>
        <v>60432.94000000001</v>
      </c>
      <c r="Q7" t="str">
        <f>IF(Tabela1[[#This Row],[data_fim_real]]="","",Tabela1[[#This Row],[data_fim_real]]-Tabela1[[#This Row],[data_inicio_real]])</f>
        <v/>
      </c>
    </row>
    <row r="8" spans="1:17" ht="16.5" x14ac:dyDescent="0.5">
      <c r="A8" t="s">
        <v>44</v>
      </c>
      <c r="B8" t="s">
        <v>45</v>
      </c>
      <c r="C8" t="s">
        <v>46</v>
      </c>
      <c r="D8" t="s">
        <v>33</v>
      </c>
      <c r="E8" t="s">
        <v>43</v>
      </c>
      <c r="F8" s="1">
        <v>46157</v>
      </c>
      <c r="G8" s="1">
        <v>46249</v>
      </c>
      <c r="H8" s="1"/>
      <c r="I8" s="1"/>
      <c r="J8" s="2">
        <v>249334.17</v>
      </c>
      <c r="K8" s="2">
        <v>0</v>
      </c>
      <c r="L8" s="2">
        <v>455527.78</v>
      </c>
      <c r="M8">
        <v>2087</v>
      </c>
      <c r="N8">
        <v>0</v>
      </c>
      <c r="O8" t="s">
        <v>21</v>
      </c>
      <c r="P8" s="2">
        <f>Tabela1[[#This Row],[orcamento_aprovado]]-Tabela1[[#This Row],[custo_real_acumulado]]</f>
        <v>249334.17</v>
      </c>
      <c r="Q8" t="str">
        <f>IF(Tabela1[[#This Row],[data_fim_real]]="","",Tabela1[[#This Row],[data_fim_real]]-Tabela1[[#This Row],[data_inicio_real]])</f>
        <v/>
      </c>
    </row>
    <row r="9" spans="1:17" ht="16.5" x14ac:dyDescent="0.5">
      <c r="A9" t="s">
        <v>47</v>
      </c>
      <c r="B9" t="s">
        <v>48</v>
      </c>
      <c r="C9" t="s">
        <v>49</v>
      </c>
      <c r="D9" t="s">
        <v>50</v>
      </c>
      <c r="E9" t="s">
        <v>43</v>
      </c>
      <c r="F9" s="1">
        <v>46145</v>
      </c>
      <c r="G9" s="1">
        <v>46230</v>
      </c>
      <c r="H9" s="1">
        <v>46150</v>
      </c>
      <c r="I9" s="1"/>
      <c r="J9" s="2">
        <v>81824.36</v>
      </c>
      <c r="K9" s="2">
        <v>45766.85</v>
      </c>
      <c r="L9" s="2">
        <v>43182.33</v>
      </c>
      <c r="M9">
        <v>2442</v>
      </c>
      <c r="N9">
        <v>1597</v>
      </c>
      <c r="O9" t="s">
        <v>26</v>
      </c>
      <c r="P9" s="2">
        <f>Tabela1[[#This Row],[orcamento_aprovado]]-Tabela1[[#This Row],[custo_real_acumulado]]</f>
        <v>36057.51</v>
      </c>
      <c r="Q9" t="str">
        <f>IF(Tabela1[[#This Row],[data_fim_real]]="","",Tabela1[[#This Row],[data_fim_real]]-Tabela1[[#This Row],[data_inicio_real]])</f>
        <v/>
      </c>
    </row>
    <row r="10" spans="1:17" ht="16.5" x14ac:dyDescent="0.5">
      <c r="A10" t="s">
        <v>51</v>
      </c>
      <c r="B10" t="s">
        <v>52</v>
      </c>
      <c r="C10" t="s">
        <v>53</v>
      </c>
      <c r="D10" t="s">
        <v>54</v>
      </c>
      <c r="E10" t="s">
        <v>43</v>
      </c>
      <c r="F10" s="1">
        <v>46376</v>
      </c>
      <c r="G10" s="1">
        <v>46387</v>
      </c>
      <c r="H10" s="1">
        <v>46378</v>
      </c>
      <c r="I10" s="1">
        <v>46387</v>
      </c>
      <c r="J10" s="2">
        <v>84635.68</v>
      </c>
      <c r="K10" s="2">
        <v>23822.15</v>
      </c>
      <c r="L10" s="2">
        <v>104098.52</v>
      </c>
      <c r="M10">
        <v>454</v>
      </c>
      <c r="N10">
        <v>148</v>
      </c>
      <c r="O10" t="s">
        <v>34</v>
      </c>
      <c r="P10" s="2">
        <f>Tabela1[[#This Row],[orcamento_aprovado]]-Tabela1[[#This Row],[custo_real_acumulado]]</f>
        <v>60813.529999999992</v>
      </c>
      <c r="Q10">
        <f>IF(Tabela1[[#This Row],[data_fim_real]]="","",Tabela1[[#This Row],[data_fim_real]]-Tabela1[[#This Row],[data_inicio_real]])</f>
        <v>9</v>
      </c>
    </row>
    <row r="11" spans="1:17" ht="16.5" x14ac:dyDescent="0.5">
      <c r="A11" t="s">
        <v>55</v>
      </c>
      <c r="B11" t="s">
        <v>56</v>
      </c>
      <c r="C11" t="s">
        <v>57</v>
      </c>
      <c r="D11" t="s">
        <v>58</v>
      </c>
      <c r="E11" t="s">
        <v>20</v>
      </c>
      <c r="F11" s="1">
        <v>46192</v>
      </c>
      <c r="G11" s="1">
        <v>46235</v>
      </c>
      <c r="H11" s="1"/>
      <c r="I11" s="1"/>
      <c r="J11" s="2">
        <v>157863.45000000001</v>
      </c>
      <c r="K11" s="2">
        <v>0</v>
      </c>
      <c r="L11" s="2">
        <v>297900.13</v>
      </c>
      <c r="M11">
        <v>957</v>
      </c>
      <c r="N11">
        <v>0</v>
      </c>
      <c r="O11" t="s">
        <v>21</v>
      </c>
      <c r="P11" s="2">
        <f>Tabela1[[#This Row],[orcamento_aprovado]]-Tabela1[[#This Row],[custo_real_acumulado]]</f>
        <v>157863.45000000001</v>
      </c>
      <c r="Q11" t="str">
        <f>IF(Tabela1[[#This Row],[data_fim_real]]="","",Tabela1[[#This Row],[data_fim_real]]-Tabela1[[#This Row],[data_inicio_real]])</f>
        <v/>
      </c>
    </row>
    <row r="12" spans="1:17" ht="16.5" x14ac:dyDescent="0.5">
      <c r="A12" t="s">
        <v>59</v>
      </c>
      <c r="B12" t="s">
        <v>60</v>
      </c>
      <c r="C12" t="s">
        <v>61</v>
      </c>
      <c r="D12" t="s">
        <v>58</v>
      </c>
      <c r="E12" t="s">
        <v>20</v>
      </c>
      <c r="F12" s="1">
        <v>46050</v>
      </c>
      <c r="G12" s="1">
        <v>46112</v>
      </c>
      <c r="H12" s="1">
        <v>46043</v>
      </c>
      <c r="I12" s="1"/>
      <c r="J12" s="2">
        <v>50000</v>
      </c>
      <c r="K12" s="2">
        <v>40414.839999999997</v>
      </c>
      <c r="L12" s="2">
        <v>47401.3</v>
      </c>
      <c r="M12">
        <v>2028</v>
      </c>
      <c r="N12">
        <v>1200</v>
      </c>
      <c r="O12" t="s">
        <v>26</v>
      </c>
      <c r="P12" s="2">
        <f>Tabela1[[#This Row],[orcamento_aprovado]]-Tabela1[[#This Row],[custo_real_acumulado]]</f>
        <v>9585.1600000000035</v>
      </c>
      <c r="Q12" t="str">
        <f>IF(Tabela1[[#This Row],[data_fim_real]]="","",Tabela1[[#This Row],[data_fim_real]]-Tabela1[[#This Row],[data_inicio_real]])</f>
        <v/>
      </c>
    </row>
    <row r="13" spans="1:17" ht="16.5" x14ac:dyDescent="0.5">
      <c r="A13" t="s">
        <v>62</v>
      </c>
      <c r="B13" t="s">
        <v>63</v>
      </c>
      <c r="C13" t="s">
        <v>64</v>
      </c>
      <c r="D13" t="s">
        <v>38</v>
      </c>
      <c r="E13" t="s">
        <v>43</v>
      </c>
      <c r="F13" s="1">
        <v>46073</v>
      </c>
      <c r="G13" s="1">
        <v>46193</v>
      </c>
      <c r="H13" s="1">
        <v>46078</v>
      </c>
      <c r="I13" s="1">
        <v>46220</v>
      </c>
      <c r="J13" s="2">
        <v>50000</v>
      </c>
      <c r="K13" s="2">
        <v>57019.11</v>
      </c>
      <c r="L13" s="2">
        <v>100225.47</v>
      </c>
      <c r="M13">
        <v>4393</v>
      </c>
      <c r="N13">
        <v>4660</v>
      </c>
      <c r="O13" t="s">
        <v>34</v>
      </c>
      <c r="P13" s="2">
        <f>Tabela1[[#This Row],[orcamento_aprovado]]-Tabela1[[#This Row],[custo_real_acumulado]]</f>
        <v>-7019.1100000000006</v>
      </c>
      <c r="Q13">
        <f>IF(Tabela1[[#This Row],[data_fim_real]]="","",Tabela1[[#This Row],[data_fim_real]]-Tabela1[[#This Row],[data_inicio_real]])</f>
        <v>142</v>
      </c>
    </row>
    <row r="14" spans="1:17" ht="16.5" x14ac:dyDescent="0.5">
      <c r="A14" t="s">
        <v>65</v>
      </c>
      <c r="B14" t="s">
        <v>66</v>
      </c>
      <c r="C14" t="s">
        <v>67</v>
      </c>
      <c r="D14" t="s">
        <v>54</v>
      </c>
      <c r="E14" t="s">
        <v>20</v>
      </c>
      <c r="F14" s="1">
        <v>46239</v>
      </c>
      <c r="G14" s="1">
        <v>46271</v>
      </c>
      <c r="H14" s="1">
        <v>46249</v>
      </c>
      <c r="I14" s="1">
        <v>46268</v>
      </c>
      <c r="J14" s="2">
        <v>54125.27</v>
      </c>
      <c r="K14" s="2">
        <v>62168.1</v>
      </c>
      <c r="L14" s="2">
        <v>83044.539999999994</v>
      </c>
      <c r="M14">
        <v>694</v>
      </c>
      <c r="N14">
        <v>664</v>
      </c>
      <c r="O14" t="s">
        <v>21</v>
      </c>
      <c r="P14" s="2">
        <f>Tabela1[[#This Row],[orcamento_aprovado]]-Tabela1[[#This Row],[custo_real_acumulado]]</f>
        <v>-8042.8300000000017</v>
      </c>
      <c r="Q14">
        <f>IF(Tabela1[[#This Row],[data_fim_real]]="","",Tabela1[[#This Row],[data_fim_real]]-Tabela1[[#This Row],[data_inicio_real]])</f>
        <v>19</v>
      </c>
    </row>
    <row r="15" spans="1:17" ht="16.5" x14ac:dyDescent="0.5">
      <c r="A15" t="s">
        <v>68</v>
      </c>
      <c r="B15" t="s">
        <v>69</v>
      </c>
      <c r="C15" t="s">
        <v>70</v>
      </c>
      <c r="D15" t="s">
        <v>71</v>
      </c>
      <c r="E15" t="s">
        <v>20</v>
      </c>
      <c r="F15" s="1">
        <v>46057</v>
      </c>
      <c r="G15" s="1">
        <v>46103</v>
      </c>
      <c r="H15" s="1">
        <v>46062</v>
      </c>
      <c r="I15" s="1">
        <v>46131</v>
      </c>
      <c r="J15" s="2">
        <v>99747.92</v>
      </c>
      <c r="K15" s="2">
        <v>107803.72</v>
      </c>
      <c r="L15" s="2">
        <v>123266.85</v>
      </c>
      <c r="M15">
        <v>976</v>
      </c>
      <c r="N15">
        <v>1148</v>
      </c>
      <c r="O15" t="s">
        <v>26</v>
      </c>
      <c r="P15" s="2">
        <f>Tabela1[[#This Row],[orcamento_aprovado]]-Tabela1[[#This Row],[custo_real_acumulado]]</f>
        <v>-8055.8000000000029</v>
      </c>
      <c r="Q15">
        <f>IF(Tabela1[[#This Row],[data_fim_real]]="","",Tabela1[[#This Row],[data_fim_real]]-Tabela1[[#This Row],[data_inicio_real]])</f>
        <v>69</v>
      </c>
    </row>
    <row r="16" spans="1:17" ht="16.5" x14ac:dyDescent="0.5">
      <c r="A16" t="s">
        <v>72</v>
      </c>
      <c r="B16" t="s">
        <v>73</v>
      </c>
      <c r="C16" t="s">
        <v>74</v>
      </c>
      <c r="D16" t="s">
        <v>50</v>
      </c>
      <c r="E16" t="s">
        <v>42</v>
      </c>
      <c r="F16" s="1">
        <v>46225</v>
      </c>
      <c r="G16" s="1">
        <v>46295</v>
      </c>
      <c r="H16" s="1">
        <v>46226</v>
      </c>
      <c r="I16" s="1"/>
      <c r="J16" s="2">
        <v>68736.13</v>
      </c>
      <c r="K16" s="2">
        <v>51070.18</v>
      </c>
      <c r="L16" s="2">
        <v>62010.42</v>
      </c>
      <c r="M16">
        <v>1217</v>
      </c>
      <c r="N16">
        <v>1077</v>
      </c>
      <c r="O16" t="s">
        <v>34</v>
      </c>
      <c r="P16" s="2">
        <f>Tabela1[[#This Row],[orcamento_aprovado]]-Tabela1[[#This Row],[custo_real_acumulado]]</f>
        <v>17665.950000000004</v>
      </c>
      <c r="Q16" t="str">
        <f>IF(Tabela1[[#This Row],[data_fim_real]]="","",Tabela1[[#This Row],[data_fim_real]]-Tabela1[[#This Row],[data_inicio_real]])</f>
        <v/>
      </c>
    </row>
    <row r="17" spans="1:17" ht="16.5" x14ac:dyDescent="0.5">
      <c r="A17" t="s">
        <v>75</v>
      </c>
      <c r="B17" t="s">
        <v>76</v>
      </c>
      <c r="C17" t="s">
        <v>77</v>
      </c>
      <c r="D17" t="s">
        <v>78</v>
      </c>
      <c r="E17" t="s">
        <v>42</v>
      </c>
      <c r="F17" s="1">
        <v>46103</v>
      </c>
      <c r="G17" s="1">
        <v>46183</v>
      </c>
      <c r="H17" s="1">
        <v>46106</v>
      </c>
      <c r="I17" s="1">
        <v>46170</v>
      </c>
      <c r="J17" s="2">
        <v>131430.03</v>
      </c>
      <c r="K17" s="2">
        <v>148359.04999999999</v>
      </c>
      <c r="L17" s="2">
        <v>214851.27</v>
      </c>
      <c r="M17">
        <v>3353</v>
      </c>
      <c r="N17">
        <v>3368</v>
      </c>
      <c r="O17" t="s">
        <v>21</v>
      </c>
      <c r="P17" s="2">
        <f>Tabela1[[#This Row],[orcamento_aprovado]]-Tabela1[[#This Row],[custo_real_acumulado]]</f>
        <v>-16929.01999999999</v>
      </c>
      <c r="Q17">
        <f>IF(Tabela1[[#This Row],[data_fim_real]]="","",Tabela1[[#This Row],[data_fim_real]]-Tabela1[[#This Row],[data_inicio_real]])</f>
        <v>64</v>
      </c>
    </row>
    <row r="18" spans="1:17" ht="16.5" x14ac:dyDescent="0.5">
      <c r="A18" t="s">
        <v>79</v>
      </c>
      <c r="B18" t="s">
        <v>80</v>
      </c>
      <c r="C18" t="s">
        <v>81</v>
      </c>
      <c r="D18" t="s">
        <v>18</v>
      </c>
      <c r="E18" t="s">
        <v>19</v>
      </c>
      <c r="F18" s="1">
        <v>46198</v>
      </c>
      <c r="G18" s="1">
        <v>46282</v>
      </c>
      <c r="H18" s="1">
        <v>46215</v>
      </c>
      <c r="I18" s="1"/>
      <c r="J18" s="2">
        <v>286274.11</v>
      </c>
      <c r="K18" s="2">
        <v>183952.41</v>
      </c>
      <c r="L18" s="2">
        <v>269724.83</v>
      </c>
      <c r="M18">
        <v>2427</v>
      </c>
      <c r="N18">
        <v>1221</v>
      </c>
      <c r="O18" t="s">
        <v>26</v>
      </c>
      <c r="P18" s="2">
        <f>Tabela1[[#This Row],[orcamento_aprovado]]-Tabela1[[#This Row],[custo_real_acumulado]]</f>
        <v>102321.69999999998</v>
      </c>
      <c r="Q18" t="str">
        <f>IF(Tabela1[[#This Row],[data_fim_real]]="","",Tabela1[[#This Row],[data_fim_real]]-Tabela1[[#This Row],[data_inicio_real]])</f>
        <v/>
      </c>
    </row>
    <row r="19" spans="1:17" ht="16.5" x14ac:dyDescent="0.5">
      <c r="A19" t="s">
        <v>82</v>
      </c>
      <c r="B19" t="s">
        <v>83</v>
      </c>
      <c r="C19" t="s">
        <v>81</v>
      </c>
      <c r="D19" t="s">
        <v>54</v>
      </c>
      <c r="E19" t="s">
        <v>20</v>
      </c>
      <c r="F19" s="1">
        <v>46080</v>
      </c>
      <c r="G19" s="1">
        <v>46136</v>
      </c>
      <c r="H19" s="1">
        <v>46079</v>
      </c>
      <c r="I19" s="1"/>
      <c r="J19" s="2">
        <v>50000</v>
      </c>
      <c r="K19" s="2">
        <v>32296.37</v>
      </c>
      <c r="L19" s="2">
        <v>35503</v>
      </c>
      <c r="M19">
        <v>3406</v>
      </c>
      <c r="N19">
        <v>2473</v>
      </c>
      <c r="O19" t="s">
        <v>34</v>
      </c>
      <c r="P19" s="2">
        <f>Tabela1[[#This Row],[orcamento_aprovado]]-Tabela1[[#This Row],[custo_real_acumulado]]</f>
        <v>17703.63</v>
      </c>
      <c r="Q19" t="str">
        <f>IF(Tabela1[[#This Row],[data_fim_real]]="","",Tabela1[[#This Row],[data_fim_real]]-Tabela1[[#This Row],[data_inicio_real]])</f>
        <v/>
      </c>
    </row>
    <row r="20" spans="1:17" ht="16.5" x14ac:dyDescent="0.5">
      <c r="A20" t="s">
        <v>84</v>
      </c>
      <c r="B20" t="s">
        <v>85</v>
      </c>
      <c r="C20" t="s">
        <v>86</v>
      </c>
      <c r="D20" t="s">
        <v>58</v>
      </c>
      <c r="E20" t="s">
        <v>19</v>
      </c>
      <c r="F20" s="1">
        <v>46102</v>
      </c>
      <c r="G20" s="1">
        <v>46199</v>
      </c>
      <c r="H20" s="1">
        <v>46085</v>
      </c>
      <c r="I20" s="1"/>
      <c r="J20" s="2">
        <v>58137.77</v>
      </c>
      <c r="K20" s="2">
        <v>32197.73</v>
      </c>
      <c r="L20" s="2">
        <v>20241.62</v>
      </c>
      <c r="M20">
        <v>5215</v>
      </c>
      <c r="N20">
        <v>2568</v>
      </c>
      <c r="O20" t="s">
        <v>21</v>
      </c>
      <c r="P20" s="2">
        <f>Tabela1[[#This Row],[orcamento_aprovado]]-Tabela1[[#This Row],[custo_real_acumulado]]</f>
        <v>25940.039999999997</v>
      </c>
      <c r="Q20" t="str">
        <f>IF(Tabela1[[#This Row],[data_fim_real]]="","",Tabela1[[#This Row],[data_fim_real]]-Tabela1[[#This Row],[data_inicio_real]])</f>
        <v/>
      </c>
    </row>
    <row r="21" spans="1:17" ht="16.5" x14ac:dyDescent="0.5">
      <c r="A21" t="s">
        <v>87</v>
      </c>
      <c r="B21" t="s">
        <v>88</v>
      </c>
      <c r="C21" t="s">
        <v>89</v>
      </c>
      <c r="D21" t="s">
        <v>54</v>
      </c>
      <c r="E21" t="s">
        <v>43</v>
      </c>
      <c r="F21" s="1">
        <v>46202</v>
      </c>
      <c r="G21" s="1">
        <v>46291</v>
      </c>
      <c r="H21" s="1">
        <v>46226</v>
      </c>
      <c r="I21" s="1"/>
      <c r="J21" s="2">
        <v>50000</v>
      </c>
      <c r="K21" s="2">
        <v>39695.56</v>
      </c>
      <c r="L21" s="2">
        <v>16367.38</v>
      </c>
      <c r="M21">
        <v>1415</v>
      </c>
      <c r="N21">
        <v>1120</v>
      </c>
      <c r="O21" t="s">
        <v>26</v>
      </c>
      <c r="P21" s="2">
        <f>Tabela1[[#This Row],[orcamento_aprovado]]-Tabela1[[#This Row],[custo_real_acumulado]]</f>
        <v>10304.440000000002</v>
      </c>
      <c r="Q21" t="str">
        <f>IF(Tabela1[[#This Row],[data_fim_real]]="","",Tabela1[[#This Row],[data_fim_real]]-Tabela1[[#This Row],[data_inicio_real]])</f>
        <v/>
      </c>
    </row>
    <row r="22" spans="1:17" ht="16.5" x14ac:dyDescent="0.5">
      <c r="A22" t="s">
        <v>90</v>
      </c>
      <c r="B22" t="s">
        <v>91</v>
      </c>
      <c r="C22" t="s">
        <v>92</v>
      </c>
      <c r="D22" t="s">
        <v>50</v>
      </c>
      <c r="E22" t="s">
        <v>42</v>
      </c>
      <c r="F22" s="1">
        <v>46158</v>
      </c>
      <c r="G22" s="1">
        <v>46230</v>
      </c>
      <c r="H22" s="1">
        <v>46158</v>
      </c>
      <c r="I22" s="1">
        <v>46230</v>
      </c>
      <c r="J22" s="2">
        <v>50000</v>
      </c>
      <c r="K22" s="2">
        <v>2760.09</v>
      </c>
      <c r="L22" s="2">
        <v>19303.88</v>
      </c>
      <c r="M22">
        <v>1562</v>
      </c>
      <c r="N22">
        <v>83</v>
      </c>
      <c r="O22" t="s">
        <v>34</v>
      </c>
      <c r="P22" s="2">
        <f>Tabela1[[#This Row],[orcamento_aprovado]]-Tabela1[[#This Row],[custo_real_acumulado]]</f>
        <v>47239.91</v>
      </c>
      <c r="Q22">
        <f>IF(Tabela1[[#This Row],[data_fim_real]]="","",Tabela1[[#This Row],[data_fim_real]]-Tabela1[[#This Row],[data_inicio_real]])</f>
        <v>72</v>
      </c>
    </row>
    <row r="23" spans="1:17" ht="16.5" x14ac:dyDescent="0.5">
      <c r="A23" t="s">
        <v>93</v>
      </c>
      <c r="B23" t="s">
        <v>94</v>
      </c>
      <c r="C23" t="s">
        <v>61</v>
      </c>
      <c r="D23" t="s">
        <v>50</v>
      </c>
      <c r="E23" t="s">
        <v>43</v>
      </c>
      <c r="F23" s="1">
        <v>46183</v>
      </c>
      <c r="G23" s="1">
        <v>46260</v>
      </c>
      <c r="H23" s="1">
        <v>46183</v>
      </c>
      <c r="I23" s="1"/>
      <c r="J23" s="2">
        <v>167661.87</v>
      </c>
      <c r="K23" s="2">
        <v>104497.97</v>
      </c>
      <c r="L23" s="2">
        <v>196278.48</v>
      </c>
      <c r="M23">
        <v>2129</v>
      </c>
      <c r="N23">
        <v>1502</v>
      </c>
      <c r="O23" t="s">
        <v>21</v>
      </c>
      <c r="P23" s="2">
        <f>Tabela1[[#This Row],[orcamento_aprovado]]-Tabela1[[#This Row],[custo_real_acumulado]]</f>
        <v>63163.899999999994</v>
      </c>
      <c r="Q23" t="str">
        <f>IF(Tabela1[[#This Row],[data_fim_real]]="","",Tabela1[[#This Row],[data_fim_real]]-Tabela1[[#This Row],[data_inicio_real]])</f>
        <v/>
      </c>
    </row>
    <row r="24" spans="1:17" ht="16.5" x14ac:dyDescent="0.5">
      <c r="A24" t="s">
        <v>95</v>
      </c>
      <c r="B24" t="s">
        <v>96</v>
      </c>
      <c r="C24" t="s">
        <v>97</v>
      </c>
      <c r="D24" t="s">
        <v>25</v>
      </c>
      <c r="E24" t="s">
        <v>43</v>
      </c>
      <c r="F24" s="1">
        <v>46319</v>
      </c>
      <c r="G24" s="1">
        <v>46372</v>
      </c>
      <c r="H24" s="1">
        <v>46319</v>
      </c>
      <c r="I24" s="1"/>
      <c r="J24" s="2">
        <v>315539.83</v>
      </c>
      <c r="K24" s="2">
        <v>295588.65000000002</v>
      </c>
      <c r="L24" s="2">
        <v>576369.4</v>
      </c>
      <c r="M24">
        <v>933</v>
      </c>
      <c r="N24">
        <v>853</v>
      </c>
      <c r="O24" t="s">
        <v>26</v>
      </c>
      <c r="P24" s="2">
        <f>Tabela1[[#This Row],[orcamento_aprovado]]-Tabela1[[#This Row],[custo_real_acumulado]]</f>
        <v>19951.179999999993</v>
      </c>
      <c r="Q24" t="str">
        <f>IF(Tabela1[[#This Row],[data_fim_real]]="","",Tabela1[[#This Row],[data_fim_real]]-Tabela1[[#This Row],[data_inicio_real]])</f>
        <v/>
      </c>
    </row>
    <row r="25" spans="1:17" ht="16.5" x14ac:dyDescent="0.5">
      <c r="A25" t="s">
        <v>98</v>
      </c>
      <c r="B25" t="s">
        <v>99</v>
      </c>
      <c r="C25" t="s">
        <v>100</v>
      </c>
      <c r="D25" t="s">
        <v>18</v>
      </c>
      <c r="E25" t="s">
        <v>19</v>
      </c>
      <c r="F25" s="1">
        <v>46148</v>
      </c>
      <c r="G25" s="1">
        <v>46215</v>
      </c>
      <c r="H25" s="1">
        <v>46161</v>
      </c>
      <c r="I25" s="1"/>
      <c r="J25" s="2">
        <v>189246.88</v>
      </c>
      <c r="K25" s="2">
        <v>126499.65</v>
      </c>
      <c r="L25" s="2">
        <v>238447.19</v>
      </c>
      <c r="M25">
        <v>1792</v>
      </c>
      <c r="N25">
        <v>1586</v>
      </c>
      <c r="O25" t="s">
        <v>34</v>
      </c>
      <c r="P25" s="2">
        <f>Tabela1[[#This Row],[orcamento_aprovado]]-Tabela1[[#This Row],[custo_real_acumulado]]</f>
        <v>62747.23000000001</v>
      </c>
      <c r="Q25" t="str">
        <f>IF(Tabela1[[#This Row],[data_fim_real]]="","",Tabela1[[#This Row],[data_fim_real]]-Tabela1[[#This Row],[data_inicio_real]])</f>
        <v/>
      </c>
    </row>
    <row r="26" spans="1:17" ht="16.5" x14ac:dyDescent="0.5">
      <c r="A26" t="s">
        <v>101</v>
      </c>
      <c r="B26" t="s">
        <v>102</v>
      </c>
      <c r="C26" t="s">
        <v>103</v>
      </c>
      <c r="D26" t="s">
        <v>38</v>
      </c>
      <c r="E26" t="s">
        <v>20</v>
      </c>
      <c r="F26" s="1">
        <v>46150</v>
      </c>
      <c r="G26" s="1">
        <v>46291</v>
      </c>
      <c r="H26" s="1">
        <v>46163</v>
      </c>
      <c r="I26" s="1"/>
      <c r="J26" s="2">
        <v>69049.66</v>
      </c>
      <c r="K26" s="2">
        <v>3388.49</v>
      </c>
      <c r="L26" s="2">
        <v>119422.19</v>
      </c>
      <c r="M26">
        <v>4095</v>
      </c>
      <c r="N26">
        <v>200</v>
      </c>
      <c r="O26" t="s">
        <v>21</v>
      </c>
      <c r="P26" s="2">
        <f>Tabela1[[#This Row],[orcamento_aprovado]]-Tabela1[[#This Row],[custo_real_acumulado]]</f>
        <v>65661.17</v>
      </c>
      <c r="Q26" t="str">
        <f>IF(Tabela1[[#This Row],[data_fim_real]]="","",Tabela1[[#This Row],[data_fim_real]]-Tabela1[[#This Row],[data_inicio_real]])</f>
        <v/>
      </c>
    </row>
    <row r="27" spans="1:17" ht="16.5" x14ac:dyDescent="0.5">
      <c r="A27" t="s">
        <v>104</v>
      </c>
      <c r="B27" t="s">
        <v>105</v>
      </c>
      <c r="C27" t="s">
        <v>106</v>
      </c>
      <c r="D27" t="s">
        <v>50</v>
      </c>
      <c r="E27" t="s">
        <v>19</v>
      </c>
      <c r="F27" s="1">
        <v>46349</v>
      </c>
      <c r="G27" s="1">
        <v>46387</v>
      </c>
      <c r="H27" s="1">
        <v>46360</v>
      </c>
      <c r="I27" s="1"/>
      <c r="J27" s="2">
        <v>292524.77</v>
      </c>
      <c r="K27" s="2">
        <v>182334.89</v>
      </c>
      <c r="L27" s="2">
        <v>477354.02</v>
      </c>
      <c r="M27">
        <v>1218</v>
      </c>
      <c r="N27">
        <v>1018</v>
      </c>
      <c r="O27" t="s">
        <v>26</v>
      </c>
      <c r="P27" s="2">
        <f>Tabela1[[#This Row],[orcamento_aprovado]]-Tabela1[[#This Row],[custo_real_acumulado]]</f>
        <v>110189.88</v>
      </c>
      <c r="Q27" t="str">
        <f>IF(Tabela1[[#This Row],[data_fim_real]]="","",Tabela1[[#This Row],[data_fim_real]]-Tabela1[[#This Row],[data_inicio_real]])</f>
        <v/>
      </c>
    </row>
    <row r="28" spans="1:17" ht="16.5" x14ac:dyDescent="0.5">
      <c r="A28" t="s">
        <v>107</v>
      </c>
      <c r="B28" t="s">
        <v>108</v>
      </c>
      <c r="C28" t="s">
        <v>109</v>
      </c>
      <c r="D28" t="s">
        <v>54</v>
      </c>
      <c r="E28" t="s">
        <v>20</v>
      </c>
      <c r="F28" s="1">
        <v>46231</v>
      </c>
      <c r="G28" s="1">
        <v>46282</v>
      </c>
      <c r="H28" s="1">
        <v>46247</v>
      </c>
      <c r="I28" s="1"/>
      <c r="J28" s="2">
        <v>346634.37</v>
      </c>
      <c r="K28" s="2">
        <v>79858.64</v>
      </c>
      <c r="L28" s="2">
        <v>428435.82</v>
      </c>
      <c r="M28">
        <v>1951</v>
      </c>
      <c r="N28">
        <v>439</v>
      </c>
      <c r="O28" t="s">
        <v>34</v>
      </c>
      <c r="P28" s="2">
        <f>Tabela1[[#This Row],[orcamento_aprovado]]-Tabela1[[#This Row],[custo_real_acumulado]]</f>
        <v>266775.73</v>
      </c>
      <c r="Q28" t="str">
        <f>IF(Tabela1[[#This Row],[data_fim_real]]="","",Tabela1[[#This Row],[data_fim_real]]-Tabela1[[#This Row],[data_inicio_real]])</f>
        <v/>
      </c>
    </row>
    <row r="29" spans="1:17" ht="16.5" x14ac:dyDescent="0.5">
      <c r="A29" t="s">
        <v>110</v>
      </c>
      <c r="B29" t="s">
        <v>111</v>
      </c>
      <c r="C29" t="s">
        <v>112</v>
      </c>
      <c r="D29" t="s">
        <v>33</v>
      </c>
      <c r="E29" t="s">
        <v>19</v>
      </c>
      <c r="F29" s="1">
        <v>46302</v>
      </c>
      <c r="G29" s="1">
        <v>46326</v>
      </c>
      <c r="H29" s="1">
        <v>46297</v>
      </c>
      <c r="I29" s="1">
        <v>46321</v>
      </c>
      <c r="J29" s="2">
        <v>142363.82</v>
      </c>
      <c r="K29" s="2">
        <v>175860.46</v>
      </c>
      <c r="L29" s="2">
        <v>45996.83</v>
      </c>
      <c r="M29">
        <v>684</v>
      </c>
      <c r="N29">
        <v>719</v>
      </c>
      <c r="O29" t="s">
        <v>21</v>
      </c>
      <c r="P29" s="2">
        <f>Tabela1[[#This Row],[orcamento_aprovado]]-Tabela1[[#This Row],[custo_real_acumulado]]</f>
        <v>-33496.639999999985</v>
      </c>
      <c r="Q29">
        <f>IF(Tabela1[[#This Row],[data_fim_real]]="","",Tabela1[[#This Row],[data_fim_real]]-Tabela1[[#This Row],[data_inicio_real]])</f>
        <v>24</v>
      </c>
    </row>
    <row r="30" spans="1:17" ht="16.5" x14ac:dyDescent="0.5">
      <c r="A30" t="s">
        <v>113</v>
      </c>
      <c r="B30" t="s">
        <v>114</v>
      </c>
      <c r="C30" t="s">
        <v>115</v>
      </c>
      <c r="D30" t="s">
        <v>25</v>
      </c>
      <c r="E30" t="s">
        <v>42</v>
      </c>
      <c r="F30" s="1">
        <v>46242</v>
      </c>
      <c r="G30" s="1">
        <v>46301</v>
      </c>
      <c r="H30" s="1">
        <v>46263</v>
      </c>
      <c r="I30" s="1"/>
      <c r="J30" s="2">
        <v>422046.27</v>
      </c>
      <c r="K30" s="2">
        <v>429132.04</v>
      </c>
      <c r="L30" s="2">
        <v>351914.87</v>
      </c>
      <c r="M30">
        <v>1254</v>
      </c>
      <c r="N30">
        <v>875</v>
      </c>
      <c r="O30" t="s">
        <v>26</v>
      </c>
      <c r="P30" s="2">
        <f>Tabela1[[#This Row],[orcamento_aprovado]]-Tabela1[[#This Row],[custo_real_acumulado]]</f>
        <v>-7085.7699999999604</v>
      </c>
      <c r="Q30" t="str">
        <f>IF(Tabela1[[#This Row],[data_fim_real]]="","",Tabela1[[#This Row],[data_fim_real]]-Tabela1[[#This Row],[data_inicio_real]])</f>
        <v/>
      </c>
    </row>
    <row r="31" spans="1:17" ht="16.5" x14ac:dyDescent="0.5">
      <c r="A31" t="s">
        <v>116</v>
      </c>
      <c r="B31" t="s">
        <v>117</v>
      </c>
      <c r="C31" t="s">
        <v>118</v>
      </c>
      <c r="D31" t="s">
        <v>18</v>
      </c>
      <c r="E31" t="s">
        <v>20</v>
      </c>
      <c r="F31" s="1">
        <v>46355</v>
      </c>
      <c r="G31" s="1">
        <v>46387</v>
      </c>
      <c r="H31" s="1">
        <v>46376</v>
      </c>
      <c r="I31" s="1">
        <v>46377</v>
      </c>
      <c r="J31" s="2">
        <v>50000</v>
      </c>
      <c r="K31" s="2">
        <v>29752.09</v>
      </c>
      <c r="L31" s="2">
        <v>93141.04</v>
      </c>
      <c r="M31">
        <v>1105</v>
      </c>
      <c r="N31">
        <v>647</v>
      </c>
      <c r="O31" t="s">
        <v>34</v>
      </c>
      <c r="P31" s="2">
        <f>Tabela1[[#This Row],[orcamento_aprovado]]-Tabela1[[#This Row],[custo_real_acumulado]]</f>
        <v>20247.91</v>
      </c>
      <c r="Q31">
        <f>IF(Tabela1[[#This Row],[data_fim_real]]="","",Tabela1[[#This Row],[data_fim_real]]-Tabela1[[#This Row],[data_inicio_real]])</f>
        <v>1</v>
      </c>
    </row>
    <row r="32" spans="1:17" ht="16.5" x14ac:dyDescent="0.5">
      <c r="A32" t="s">
        <v>119</v>
      </c>
      <c r="B32" t="s">
        <v>120</v>
      </c>
      <c r="C32" t="s">
        <v>121</v>
      </c>
      <c r="D32" t="s">
        <v>78</v>
      </c>
      <c r="E32" t="s">
        <v>20</v>
      </c>
      <c r="F32" s="1">
        <v>46182</v>
      </c>
      <c r="G32" s="1">
        <v>46247</v>
      </c>
      <c r="H32" s="1">
        <v>46187</v>
      </c>
      <c r="I32" s="1"/>
      <c r="J32" s="2">
        <v>129668.67</v>
      </c>
      <c r="K32" s="2">
        <v>33679.53</v>
      </c>
      <c r="L32" s="2">
        <v>141099.88</v>
      </c>
      <c r="M32">
        <v>4161</v>
      </c>
      <c r="N32">
        <v>1091</v>
      </c>
      <c r="O32" t="s">
        <v>21</v>
      </c>
      <c r="P32" s="2">
        <f>Tabela1[[#This Row],[orcamento_aprovado]]-Tabela1[[#This Row],[custo_real_acumulado]]</f>
        <v>95989.14</v>
      </c>
      <c r="Q32" t="str">
        <f>IF(Tabela1[[#This Row],[data_fim_real]]="","",Tabela1[[#This Row],[data_fim_real]]-Tabela1[[#This Row],[data_inicio_real]])</f>
        <v/>
      </c>
    </row>
    <row r="33" spans="1:17" ht="16.5" x14ac:dyDescent="0.5">
      <c r="A33" t="s">
        <v>122</v>
      </c>
      <c r="B33" t="s">
        <v>123</v>
      </c>
      <c r="C33" t="s">
        <v>124</v>
      </c>
      <c r="D33" t="s">
        <v>18</v>
      </c>
      <c r="E33" t="s">
        <v>43</v>
      </c>
      <c r="F33" s="1">
        <v>46197</v>
      </c>
      <c r="G33" s="1">
        <v>46282</v>
      </c>
      <c r="H33" s="1">
        <v>46197</v>
      </c>
      <c r="I33" s="1"/>
      <c r="J33" s="2">
        <v>50000</v>
      </c>
      <c r="K33" s="2">
        <v>8390.1</v>
      </c>
      <c r="L33" s="2">
        <v>49025.46</v>
      </c>
      <c r="M33">
        <v>3009</v>
      </c>
      <c r="N33">
        <v>461</v>
      </c>
      <c r="O33" t="s">
        <v>26</v>
      </c>
      <c r="P33" s="2">
        <f>Tabela1[[#This Row],[orcamento_aprovado]]-Tabela1[[#This Row],[custo_real_acumulado]]</f>
        <v>41609.9</v>
      </c>
      <c r="Q33" t="str">
        <f>IF(Tabela1[[#This Row],[data_fim_real]]="","",Tabela1[[#This Row],[data_fim_real]]-Tabela1[[#This Row],[data_inicio_real]])</f>
        <v/>
      </c>
    </row>
    <row r="34" spans="1:17" ht="16.5" x14ac:dyDescent="0.5">
      <c r="A34" t="s">
        <v>125</v>
      </c>
      <c r="B34" t="s">
        <v>126</v>
      </c>
      <c r="C34" t="s">
        <v>29</v>
      </c>
      <c r="D34" t="s">
        <v>25</v>
      </c>
      <c r="E34" t="s">
        <v>43</v>
      </c>
      <c r="F34" s="1">
        <v>46067</v>
      </c>
      <c r="G34" s="1">
        <v>46196</v>
      </c>
      <c r="H34" s="1">
        <v>46080</v>
      </c>
      <c r="I34" s="1"/>
      <c r="J34" s="2">
        <v>50000</v>
      </c>
      <c r="K34" s="2">
        <v>23260.85</v>
      </c>
      <c r="L34" s="2">
        <v>73929.41</v>
      </c>
      <c r="M34">
        <v>4573</v>
      </c>
      <c r="N34">
        <v>2483</v>
      </c>
      <c r="O34" t="s">
        <v>34</v>
      </c>
      <c r="P34" s="2">
        <f>Tabela1[[#This Row],[orcamento_aprovado]]-Tabela1[[#This Row],[custo_real_acumulado]]</f>
        <v>26739.15</v>
      </c>
      <c r="Q34" t="str">
        <f>IF(Tabela1[[#This Row],[data_fim_real]]="","",Tabela1[[#This Row],[data_fim_real]]-Tabela1[[#This Row],[data_inicio_real]])</f>
        <v/>
      </c>
    </row>
    <row r="35" spans="1:17" ht="16.5" x14ac:dyDescent="0.5">
      <c r="A35" t="s">
        <v>127</v>
      </c>
      <c r="B35" t="s">
        <v>128</v>
      </c>
      <c r="C35" t="s">
        <v>129</v>
      </c>
      <c r="D35" t="s">
        <v>71</v>
      </c>
      <c r="E35" t="s">
        <v>43</v>
      </c>
      <c r="F35" s="1">
        <v>46164</v>
      </c>
      <c r="G35" s="1">
        <v>46234</v>
      </c>
      <c r="H35" s="1">
        <v>46163</v>
      </c>
      <c r="I35" s="1"/>
      <c r="J35" s="2">
        <v>216476.64</v>
      </c>
      <c r="K35" s="2">
        <v>234277.79</v>
      </c>
      <c r="L35" s="2">
        <v>446053.69</v>
      </c>
      <c r="M35">
        <v>616</v>
      </c>
      <c r="N35">
        <v>486</v>
      </c>
      <c r="O35" t="s">
        <v>21</v>
      </c>
      <c r="P35" s="2">
        <f>Tabela1[[#This Row],[orcamento_aprovado]]-Tabela1[[#This Row],[custo_real_acumulado]]</f>
        <v>-17801.149999999994</v>
      </c>
      <c r="Q35" t="str">
        <f>IF(Tabela1[[#This Row],[data_fim_real]]="","",Tabela1[[#This Row],[data_fim_real]]-Tabela1[[#This Row],[data_inicio_real]])</f>
        <v/>
      </c>
    </row>
    <row r="36" spans="1:17" ht="16.5" x14ac:dyDescent="0.5">
      <c r="A36" t="s">
        <v>130</v>
      </c>
      <c r="B36" t="s">
        <v>131</v>
      </c>
      <c r="C36" t="s">
        <v>132</v>
      </c>
      <c r="D36" t="s">
        <v>78</v>
      </c>
      <c r="E36" t="s">
        <v>43</v>
      </c>
      <c r="F36" s="1">
        <v>46306</v>
      </c>
      <c r="G36" s="1">
        <v>46377</v>
      </c>
      <c r="H36" s="1">
        <v>46312</v>
      </c>
      <c r="I36" s="1"/>
      <c r="J36" s="2">
        <v>65441.14</v>
      </c>
      <c r="K36" s="2">
        <v>32430.880000000001</v>
      </c>
      <c r="L36" s="2">
        <v>102635.25</v>
      </c>
      <c r="M36">
        <v>765</v>
      </c>
      <c r="N36">
        <v>314</v>
      </c>
      <c r="O36" t="s">
        <v>26</v>
      </c>
      <c r="P36" s="2">
        <f>Tabela1[[#This Row],[orcamento_aprovado]]-Tabela1[[#This Row],[custo_real_acumulado]]</f>
        <v>33010.259999999995</v>
      </c>
      <c r="Q36" t="str">
        <f>IF(Tabela1[[#This Row],[data_fim_real]]="","",Tabela1[[#This Row],[data_fim_real]]-Tabela1[[#This Row],[data_inicio_real]])</f>
        <v/>
      </c>
    </row>
    <row r="37" spans="1:17" ht="16.5" x14ac:dyDescent="0.5">
      <c r="A37" t="s">
        <v>133</v>
      </c>
      <c r="B37" t="s">
        <v>134</v>
      </c>
      <c r="C37" t="s">
        <v>135</v>
      </c>
      <c r="D37" t="s">
        <v>54</v>
      </c>
      <c r="E37" t="s">
        <v>20</v>
      </c>
      <c r="F37" s="1">
        <v>46167</v>
      </c>
      <c r="G37" s="1">
        <v>46235</v>
      </c>
      <c r="H37" s="1">
        <v>46168</v>
      </c>
      <c r="I37" s="1"/>
      <c r="J37" s="2">
        <v>148995.47</v>
      </c>
      <c r="K37" s="2">
        <v>56938.86</v>
      </c>
      <c r="L37" s="2">
        <v>61989.29</v>
      </c>
      <c r="M37">
        <v>1777</v>
      </c>
      <c r="N37">
        <v>758</v>
      </c>
      <c r="O37" t="s">
        <v>34</v>
      </c>
      <c r="P37" s="2">
        <f>Tabela1[[#This Row],[orcamento_aprovado]]-Tabela1[[#This Row],[custo_real_acumulado]]</f>
        <v>92056.61</v>
      </c>
      <c r="Q37" t="str">
        <f>IF(Tabela1[[#This Row],[data_fim_real]]="","",Tabela1[[#This Row],[data_fim_real]]-Tabela1[[#This Row],[data_inicio_real]])</f>
        <v/>
      </c>
    </row>
    <row r="38" spans="1:17" ht="16.5" x14ac:dyDescent="0.5">
      <c r="A38" t="s">
        <v>136</v>
      </c>
      <c r="B38" t="s">
        <v>137</v>
      </c>
      <c r="C38" t="s">
        <v>138</v>
      </c>
      <c r="D38" t="s">
        <v>78</v>
      </c>
      <c r="E38" t="s">
        <v>43</v>
      </c>
      <c r="F38" s="1">
        <v>46168</v>
      </c>
      <c r="G38" s="1">
        <v>46182</v>
      </c>
      <c r="H38" s="1">
        <v>46187</v>
      </c>
      <c r="I38" s="1"/>
      <c r="J38" s="2">
        <v>156567.98000000001</v>
      </c>
      <c r="K38" s="2">
        <v>79261.3</v>
      </c>
      <c r="L38" s="2">
        <v>78851.83</v>
      </c>
      <c r="M38">
        <v>179</v>
      </c>
      <c r="N38">
        <v>80</v>
      </c>
      <c r="O38" t="s">
        <v>21</v>
      </c>
      <c r="P38" s="2">
        <f>Tabela1[[#This Row],[orcamento_aprovado]]-Tabela1[[#This Row],[custo_real_acumulado]]</f>
        <v>77306.680000000008</v>
      </c>
      <c r="Q38" t="str">
        <f>IF(Tabela1[[#This Row],[data_fim_real]]="","",Tabela1[[#This Row],[data_fim_real]]-Tabela1[[#This Row],[data_inicio_real]])</f>
        <v/>
      </c>
    </row>
    <row r="39" spans="1:17" ht="16.5" x14ac:dyDescent="0.5">
      <c r="A39" t="s">
        <v>139</v>
      </c>
      <c r="B39" t="s">
        <v>140</v>
      </c>
      <c r="C39" t="s">
        <v>141</v>
      </c>
      <c r="D39" t="s">
        <v>142</v>
      </c>
      <c r="E39" t="s">
        <v>20</v>
      </c>
      <c r="F39" s="1">
        <v>46308</v>
      </c>
      <c r="G39" s="1">
        <v>46333</v>
      </c>
      <c r="H39" s="1">
        <v>46305</v>
      </c>
      <c r="I39" s="1"/>
      <c r="J39" s="2">
        <v>380679.58</v>
      </c>
      <c r="K39" s="2">
        <v>119811.47</v>
      </c>
      <c r="L39" s="2">
        <v>177072.55</v>
      </c>
      <c r="M39">
        <v>538</v>
      </c>
      <c r="N39">
        <v>154</v>
      </c>
      <c r="O39" t="s">
        <v>26</v>
      </c>
      <c r="P39" s="2">
        <f>Tabela1[[#This Row],[orcamento_aprovado]]-Tabela1[[#This Row],[custo_real_acumulado]]</f>
        <v>260868.11000000002</v>
      </c>
      <c r="Q39" t="str">
        <f>IF(Tabela1[[#This Row],[data_fim_real]]="","",Tabela1[[#This Row],[data_fim_real]]-Tabela1[[#This Row],[data_inicio_real]])</f>
        <v/>
      </c>
    </row>
    <row r="40" spans="1:17" ht="16.5" x14ac:dyDescent="0.5">
      <c r="A40" t="s">
        <v>143</v>
      </c>
      <c r="B40" t="s">
        <v>144</v>
      </c>
      <c r="C40" t="s">
        <v>145</v>
      </c>
      <c r="D40" t="s">
        <v>25</v>
      </c>
      <c r="E40" t="s">
        <v>42</v>
      </c>
      <c r="F40" s="1">
        <v>46103</v>
      </c>
      <c r="G40" s="1">
        <v>46154</v>
      </c>
      <c r="H40" s="1">
        <v>46087</v>
      </c>
      <c r="I40" s="1"/>
      <c r="J40" s="2">
        <v>100927</v>
      </c>
      <c r="K40" s="2">
        <v>74384.69</v>
      </c>
      <c r="L40" s="2">
        <v>59590.57</v>
      </c>
      <c r="M40">
        <v>1324</v>
      </c>
      <c r="N40">
        <v>859</v>
      </c>
      <c r="O40" t="s">
        <v>34</v>
      </c>
      <c r="P40" s="2">
        <f>Tabela1[[#This Row],[orcamento_aprovado]]-Tabela1[[#This Row],[custo_real_acumulado]]</f>
        <v>26542.309999999998</v>
      </c>
      <c r="Q40" t="str">
        <f>IF(Tabela1[[#This Row],[data_fim_real]]="","",Tabela1[[#This Row],[data_fim_real]]-Tabela1[[#This Row],[data_inicio_real]])</f>
        <v/>
      </c>
    </row>
    <row r="41" spans="1:17" ht="16.5" x14ac:dyDescent="0.5">
      <c r="A41" t="s">
        <v>146</v>
      </c>
      <c r="B41" t="s">
        <v>147</v>
      </c>
      <c r="C41" t="s">
        <v>148</v>
      </c>
      <c r="D41" t="s">
        <v>71</v>
      </c>
      <c r="E41" t="s">
        <v>19</v>
      </c>
      <c r="F41" s="1">
        <v>46361</v>
      </c>
      <c r="G41" s="1">
        <v>46387</v>
      </c>
      <c r="H41" s="1">
        <v>46341</v>
      </c>
      <c r="I41" s="1"/>
      <c r="J41" s="2">
        <v>134888.34</v>
      </c>
      <c r="K41" s="2">
        <v>88449.41</v>
      </c>
      <c r="L41" s="2">
        <v>84262.91</v>
      </c>
      <c r="M41">
        <v>491</v>
      </c>
      <c r="N41">
        <v>286</v>
      </c>
      <c r="O41" t="s">
        <v>21</v>
      </c>
      <c r="P41" s="2">
        <f>Tabela1[[#This Row],[orcamento_aprovado]]-Tabela1[[#This Row],[custo_real_acumulado]]</f>
        <v>46438.929999999993</v>
      </c>
      <c r="Q41" t="str">
        <f>IF(Tabela1[[#This Row],[data_fim_real]]="","",Tabela1[[#This Row],[data_fim_real]]-Tabela1[[#This Row],[data_inicio_real]])</f>
        <v/>
      </c>
    </row>
    <row r="42" spans="1:17" ht="16.5" x14ac:dyDescent="0.5">
      <c r="A42" t="s">
        <v>149</v>
      </c>
      <c r="B42" t="s">
        <v>150</v>
      </c>
      <c r="C42" t="s">
        <v>151</v>
      </c>
      <c r="D42" t="s">
        <v>25</v>
      </c>
      <c r="E42" t="s">
        <v>43</v>
      </c>
      <c r="F42" s="1">
        <v>46279</v>
      </c>
      <c r="G42" s="1">
        <v>46318</v>
      </c>
      <c r="H42" s="1">
        <v>46278</v>
      </c>
      <c r="I42" s="1"/>
      <c r="J42" s="2">
        <v>50000</v>
      </c>
      <c r="K42" s="2">
        <v>25438.639999999999</v>
      </c>
      <c r="L42" s="2">
        <v>60708.31</v>
      </c>
      <c r="M42">
        <v>1273</v>
      </c>
      <c r="N42">
        <v>642</v>
      </c>
      <c r="O42" t="s">
        <v>26</v>
      </c>
      <c r="P42" s="2">
        <f>Tabela1[[#This Row],[orcamento_aprovado]]-Tabela1[[#This Row],[custo_real_acumulado]]</f>
        <v>24561.360000000001</v>
      </c>
      <c r="Q42" t="str">
        <f>IF(Tabela1[[#This Row],[data_fim_real]]="","",Tabela1[[#This Row],[data_fim_real]]-Tabela1[[#This Row],[data_inicio_real]])</f>
        <v/>
      </c>
    </row>
    <row r="43" spans="1:17" ht="16.5" x14ac:dyDescent="0.5">
      <c r="A43" t="s">
        <v>152</v>
      </c>
      <c r="B43" t="s">
        <v>153</v>
      </c>
      <c r="C43" t="s">
        <v>154</v>
      </c>
      <c r="D43" t="s">
        <v>142</v>
      </c>
      <c r="E43" t="s">
        <v>43</v>
      </c>
      <c r="F43" s="1">
        <v>46249</v>
      </c>
      <c r="G43" s="1">
        <v>46303</v>
      </c>
      <c r="H43" s="1">
        <v>46257</v>
      </c>
      <c r="I43" s="1"/>
      <c r="J43" s="2">
        <v>50000</v>
      </c>
      <c r="K43" s="2">
        <v>45024.4</v>
      </c>
      <c r="L43" s="2">
        <v>93908.84</v>
      </c>
      <c r="M43">
        <v>2171</v>
      </c>
      <c r="N43">
        <v>1691</v>
      </c>
      <c r="O43" t="s">
        <v>34</v>
      </c>
      <c r="P43" s="2">
        <f>Tabela1[[#This Row],[orcamento_aprovado]]-Tabela1[[#This Row],[custo_real_acumulado]]</f>
        <v>4975.5999999999985</v>
      </c>
      <c r="Q43" t="str">
        <f>IF(Tabela1[[#This Row],[data_fim_real]]="","",Tabela1[[#This Row],[data_fim_real]]-Tabela1[[#This Row],[data_inicio_real]])</f>
        <v/>
      </c>
    </row>
    <row r="44" spans="1:17" ht="16.5" x14ac:dyDescent="0.5">
      <c r="A44" t="s">
        <v>155</v>
      </c>
      <c r="B44" t="s">
        <v>156</v>
      </c>
      <c r="C44" t="s">
        <v>157</v>
      </c>
      <c r="D44" t="s">
        <v>33</v>
      </c>
      <c r="E44" t="s">
        <v>19</v>
      </c>
      <c r="F44" s="1">
        <v>46255</v>
      </c>
      <c r="G44" s="1">
        <v>46385</v>
      </c>
      <c r="H44" s="1">
        <v>46253</v>
      </c>
      <c r="I44" s="1">
        <v>46387</v>
      </c>
      <c r="J44" s="2">
        <v>76513.100000000006</v>
      </c>
      <c r="K44" s="2">
        <v>89966.39</v>
      </c>
      <c r="L44" s="2">
        <v>119656.9</v>
      </c>
      <c r="M44">
        <v>2832</v>
      </c>
      <c r="N44">
        <v>2790</v>
      </c>
      <c r="O44" t="s">
        <v>21</v>
      </c>
      <c r="P44" s="2">
        <f>Tabela1[[#This Row],[orcamento_aprovado]]-Tabela1[[#This Row],[custo_real_acumulado]]</f>
        <v>-13453.289999999994</v>
      </c>
      <c r="Q44">
        <f>IF(Tabela1[[#This Row],[data_fim_real]]="","",Tabela1[[#This Row],[data_fim_real]]-Tabela1[[#This Row],[data_inicio_real]])</f>
        <v>134</v>
      </c>
    </row>
    <row r="45" spans="1:17" ht="16.5" x14ac:dyDescent="0.5">
      <c r="A45" t="s">
        <v>158</v>
      </c>
      <c r="B45" t="s">
        <v>159</v>
      </c>
      <c r="C45" t="s">
        <v>135</v>
      </c>
      <c r="D45" t="s">
        <v>33</v>
      </c>
      <c r="E45" t="s">
        <v>43</v>
      </c>
      <c r="F45" s="1">
        <v>46170</v>
      </c>
      <c r="G45" s="1">
        <v>46290</v>
      </c>
      <c r="H45" s="1">
        <v>46183</v>
      </c>
      <c r="I45" s="1"/>
      <c r="J45" s="2">
        <v>50000</v>
      </c>
      <c r="K45" s="2">
        <v>19962.189999999999</v>
      </c>
      <c r="L45" s="2">
        <v>66637.52</v>
      </c>
      <c r="M45">
        <v>2343</v>
      </c>
      <c r="N45">
        <v>810</v>
      </c>
      <c r="O45" t="s">
        <v>26</v>
      </c>
      <c r="P45" s="2">
        <f>Tabela1[[#This Row],[orcamento_aprovado]]-Tabela1[[#This Row],[custo_real_acumulado]]</f>
        <v>30037.81</v>
      </c>
      <c r="Q45" t="str">
        <f>IF(Tabela1[[#This Row],[data_fim_real]]="","",Tabela1[[#This Row],[data_fim_real]]-Tabela1[[#This Row],[data_inicio_real]])</f>
        <v/>
      </c>
    </row>
    <row r="46" spans="1:17" ht="16.5" x14ac:dyDescent="0.5">
      <c r="A46" t="s">
        <v>160</v>
      </c>
      <c r="B46" t="s">
        <v>161</v>
      </c>
      <c r="C46" t="s">
        <v>70</v>
      </c>
      <c r="D46" t="s">
        <v>38</v>
      </c>
      <c r="E46" t="s">
        <v>20</v>
      </c>
      <c r="F46" s="1">
        <v>46101</v>
      </c>
      <c r="G46" s="1">
        <v>46161</v>
      </c>
      <c r="H46" s="1">
        <v>46113</v>
      </c>
      <c r="I46" s="1"/>
      <c r="J46" s="2">
        <v>66841.8</v>
      </c>
      <c r="K46" s="2">
        <v>37135.47</v>
      </c>
      <c r="L46" s="2">
        <v>114533.29</v>
      </c>
      <c r="M46">
        <v>1787</v>
      </c>
      <c r="N46">
        <v>860</v>
      </c>
      <c r="O46" t="s">
        <v>34</v>
      </c>
      <c r="P46" s="2">
        <f>Tabela1[[#This Row],[orcamento_aprovado]]-Tabela1[[#This Row],[custo_real_acumulado]]</f>
        <v>29706.33</v>
      </c>
      <c r="Q46" t="str">
        <f>IF(Tabela1[[#This Row],[data_fim_real]]="","",Tabela1[[#This Row],[data_fim_real]]-Tabela1[[#This Row],[data_inicio_real]])</f>
        <v/>
      </c>
    </row>
    <row r="47" spans="1:17" ht="16.5" x14ac:dyDescent="0.5">
      <c r="A47" t="s">
        <v>162</v>
      </c>
      <c r="B47" t="s">
        <v>163</v>
      </c>
      <c r="C47" t="s">
        <v>29</v>
      </c>
      <c r="D47" t="s">
        <v>54</v>
      </c>
      <c r="E47" t="s">
        <v>43</v>
      </c>
      <c r="F47" s="1">
        <v>46024</v>
      </c>
      <c r="G47" s="1">
        <v>46128</v>
      </c>
      <c r="H47" s="1">
        <v>46039</v>
      </c>
      <c r="I47" s="1"/>
      <c r="J47" s="2">
        <v>70127.740000000005</v>
      </c>
      <c r="K47" s="2">
        <v>34343.480000000003</v>
      </c>
      <c r="L47" s="2">
        <v>106466.57</v>
      </c>
      <c r="M47">
        <v>808</v>
      </c>
      <c r="N47">
        <v>410</v>
      </c>
      <c r="O47" t="s">
        <v>21</v>
      </c>
      <c r="P47" s="2">
        <f>Tabela1[[#This Row],[orcamento_aprovado]]-Tabela1[[#This Row],[custo_real_acumulado]]</f>
        <v>35784.26</v>
      </c>
      <c r="Q47" t="str">
        <f>IF(Tabela1[[#This Row],[data_fim_real]]="","",Tabela1[[#This Row],[data_fim_real]]-Tabela1[[#This Row],[data_inicio_real]])</f>
        <v/>
      </c>
    </row>
    <row r="48" spans="1:17" ht="16.5" x14ac:dyDescent="0.5">
      <c r="A48" t="s">
        <v>164</v>
      </c>
      <c r="B48" t="s">
        <v>165</v>
      </c>
      <c r="C48" t="s">
        <v>103</v>
      </c>
      <c r="D48" t="s">
        <v>58</v>
      </c>
      <c r="E48" t="s">
        <v>20</v>
      </c>
      <c r="F48" s="1">
        <v>46218</v>
      </c>
      <c r="G48" s="1">
        <v>46345</v>
      </c>
      <c r="H48" s="1"/>
      <c r="I48" s="1"/>
      <c r="J48" s="2">
        <v>123497.34</v>
      </c>
      <c r="K48" s="2">
        <v>0</v>
      </c>
      <c r="L48" s="2">
        <v>180523.85</v>
      </c>
      <c r="M48">
        <v>3005</v>
      </c>
      <c r="N48">
        <v>0</v>
      </c>
      <c r="O48" t="s">
        <v>26</v>
      </c>
      <c r="P48" s="2">
        <f>Tabela1[[#This Row],[orcamento_aprovado]]-Tabela1[[#This Row],[custo_real_acumulado]]</f>
        <v>123497.34</v>
      </c>
      <c r="Q48" t="str">
        <f>IF(Tabela1[[#This Row],[data_fim_real]]="","",Tabela1[[#This Row],[data_fim_real]]-Tabela1[[#This Row],[data_inicio_real]])</f>
        <v/>
      </c>
    </row>
    <row r="49" spans="1:17" ht="16.5" x14ac:dyDescent="0.5">
      <c r="A49" t="s">
        <v>166</v>
      </c>
      <c r="B49" t="s">
        <v>167</v>
      </c>
      <c r="C49" t="s">
        <v>168</v>
      </c>
      <c r="D49" t="s">
        <v>142</v>
      </c>
      <c r="E49" t="s">
        <v>43</v>
      </c>
      <c r="F49" s="1">
        <v>46196</v>
      </c>
      <c r="G49" s="1">
        <v>46286</v>
      </c>
      <c r="H49" s="1">
        <v>46217</v>
      </c>
      <c r="I49" s="1"/>
      <c r="J49" s="2">
        <v>353115.08</v>
      </c>
      <c r="K49" s="2">
        <v>380268.64</v>
      </c>
      <c r="L49" s="2">
        <v>408411.07</v>
      </c>
      <c r="M49">
        <v>480</v>
      </c>
      <c r="N49">
        <v>395</v>
      </c>
      <c r="O49" t="s">
        <v>34</v>
      </c>
      <c r="P49" s="2">
        <f>Tabela1[[#This Row],[orcamento_aprovado]]-Tabela1[[#This Row],[custo_real_acumulado]]</f>
        <v>-27153.559999999998</v>
      </c>
      <c r="Q49" t="str">
        <f>IF(Tabela1[[#This Row],[data_fim_real]]="","",Tabela1[[#This Row],[data_fim_real]]-Tabela1[[#This Row],[data_inicio_real]])</f>
        <v/>
      </c>
    </row>
    <row r="50" spans="1:17" ht="16.5" x14ac:dyDescent="0.5">
      <c r="A50" t="s">
        <v>169</v>
      </c>
      <c r="B50" t="s">
        <v>170</v>
      </c>
      <c r="C50" t="s">
        <v>171</v>
      </c>
      <c r="D50" t="s">
        <v>58</v>
      </c>
      <c r="E50" t="s">
        <v>42</v>
      </c>
      <c r="F50" s="1">
        <v>46074</v>
      </c>
      <c r="G50" s="1">
        <v>46202</v>
      </c>
      <c r="H50" s="1">
        <v>46067</v>
      </c>
      <c r="I50" s="1"/>
      <c r="J50" s="2">
        <v>190715.19</v>
      </c>
      <c r="K50" s="2">
        <v>24508.81</v>
      </c>
      <c r="L50" s="2">
        <v>324454.67</v>
      </c>
      <c r="M50">
        <v>3366</v>
      </c>
      <c r="N50">
        <v>510</v>
      </c>
      <c r="O50" t="s">
        <v>21</v>
      </c>
      <c r="P50" s="2">
        <f>Tabela1[[#This Row],[orcamento_aprovado]]-Tabela1[[#This Row],[custo_real_acumulado]]</f>
        <v>166206.38</v>
      </c>
      <c r="Q50" t="str">
        <f>IF(Tabela1[[#This Row],[data_fim_real]]="","",Tabela1[[#This Row],[data_fim_real]]-Tabela1[[#This Row],[data_inicio_real]])</f>
        <v/>
      </c>
    </row>
    <row r="51" spans="1:17" ht="16.5" x14ac:dyDescent="0.5">
      <c r="A51" t="s">
        <v>172</v>
      </c>
      <c r="B51" t="s">
        <v>173</v>
      </c>
      <c r="C51" t="s">
        <v>174</v>
      </c>
      <c r="D51" t="s">
        <v>54</v>
      </c>
      <c r="E51" t="s">
        <v>20</v>
      </c>
      <c r="F51" s="1">
        <v>46277</v>
      </c>
      <c r="G51" s="1">
        <v>46305</v>
      </c>
      <c r="H51" s="1">
        <v>46290</v>
      </c>
      <c r="I51" s="1"/>
      <c r="J51" s="2">
        <v>50000</v>
      </c>
      <c r="K51" s="2">
        <v>4937.71</v>
      </c>
      <c r="L51" s="2">
        <v>54389.29</v>
      </c>
      <c r="M51">
        <v>665</v>
      </c>
      <c r="N51">
        <v>47</v>
      </c>
      <c r="O51" t="s">
        <v>26</v>
      </c>
      <c r="P51" s="2">
        <f>Tabela1[[#This Row],[orcamento_aprovado]]-Tabela1[[#This Row],[custo_real_acumulado]]</f>
        <v>45062.29</v>
      </c>
      <c r="Q51" t="str">
        <f>IF(Tabela1[[#This Row],[data_fim_real]]="","",Tabela1[[#This Row],[data_fim_real]]-Tabela1[[#This Row],[data_inicio_real]])</f>
        <v/>
      </c>
    </row>
    <row r="52" spans="1:17" ht="16.5" x14ac:dyDescent="0.5">
      <c r="A52" t="s">
        <v>175</v>
      </c>
      <c r="B52" t="s">
        <v>176</v>
      </c>
      <c r="C52" t="s">
        <v>141</v>
      </c>
      <c r="D52" t="s">
        <v>33</v>
      </c>
      <c r="E52" t="s">
        <v>43</v>
      </c>
      <c r="F52" s="1">
        <v>46219</v>
      </c>
      <c r="G52" s="1">
        <v>46299</v>
      </c>
      <c r="H52" s="1">
        <v>46220</v>
      </c>
      <c r="I52" s="1"/>
      <c r="J52" s="2">
        <v>771383.91</v>
      </c>
      <c r="K52" s="2">
        <v>392051.56</v>
      </c>
      <c r="L52" s="2">
        <v>895768.63</v>
      </c>
      <c r="M52">
        <v>2441</v>
      </c>
      <c r="N52">
        <v>1668</v>
      </c>
      <c r="O52" t="s">
        <v>34</v>
      </c>
      <c r="P52" s="2">
        <f>Tabela1[[#This Row],[orcamento_aprovado]]-Tabela1[[#This Row],[custo_real_acumulado]]</f>
        <v>379332.35000000003</v>
      </c>
      <c r="Q52" t="str">
        <f>IF(Tabela1[[#This Row],[data_fim_real]]="","",Tabela1[[#This Row],[data_fim_real]]-Tabela1[[#This Row],[data_inicio_real]])</f>
        <v/>
      </c>
    </row>
    <row r="53" spans="1:17" ht="16.5" x14ac:dyDescent="0.5">
      <c r="A53" t="s">
        <v>177</v>
      </c>
      <c r="B53" t="s">
        <v>178</v>
      </c>
      <c r="C53" t="s">
        <v>179</v>
      </c>
      <c r="D53" t="s">
        <v>25</v>
      </c>
      <c r="E53" t="s">
        <v>19</v>
      </c>
      <c r="F53" s="1">
        <v>46203</v>
      </c>
      <c r="G53" s="1">
        <v>46264</v>
      </c>
      <c r="H53" s="1">
        <v>46192</v>
      </c>
      <c r="I53" s="1"/>
      <c r="J53" s="2">
        <v>50000</v>
      </c>
      <c r="K53" s="2">
        <v>9314.84</v>
      </c>
      <c r="L53" s="2">
        <v>77597.77</v>
      </c>
      <c r="M53">
        <v>1296</v>
      </c>
      <c r="N53">
        <v>399</v>
      </c>
      <c r="O53" t="s">
        <v>21</v>
      </c>
      <c r="P53" s="2">
        <f>Tabela1[[#This Row],[orcamento_aprovado]]-Tabela1[[#This Row],[custo_real_acumulado]]</f>
        <v>40685.160000000003</v>
      </c>
      <c r="Q53" t="str">
        <f>IF(Tabela1[[#This Row],[data_fim_real]]="","",Tabela1[[#This Row],[data_fim_real]]-Tabela1[[#This Row],[data_inicio_real]])</f>
        <v/>
      </c>
    </row>
    <row r="54" spans="1:17" ht="16.5" x14ac:dyDescent="0.5">
      <c r="A54" t="s">
        <v>180</v>
      </c>
      <c r="B54" t="s">
        <v>181</v>
      </c>
      <c r="C54" t="s">
        <v>182</v>
      </c>
      <c r="D54" t="s">
        <v>25</v>
      </c>
      <c r="E54" t="s">
        <v>19</v>
      </c>
      <c r="F54" s="1">
        <v>46112</v>
      </c>
      <c r="G54" s="1">
        <v>46182</v>
      </c>
      <c r="H54" s="1">
        <v>46112</v>
      </c>
      <c r="I54" s="1"/>
      <c r="J54" s="2">
        <v>189300.53</v>
      </c>
      <c r="K54" s="2">
        <v>110592.49</v>
      </c>
      <c r="L54" s="2">
        <v>199645.56</v>
      </c>
      <c r="M54">
        <v>2108</v>
      </c>
      <c r="N54">
        <v>1195</v>
      </c>
      <c r="O54" t="s">
        <v>26</v>
      </c>
      <c r="P54" s="2">
        <f>Tabela1[[#This Row],[orcamento_aprovado]]-Tabela1[[#This Row],[custo_real_acumulado]]</f>
        <v>78708.039999999994</v>
      </c>
      <c r="Q54" t="str">
        <f>IF(Tabela1[[#This Row],[data_fim_real]]="","",Tabela1[[#This Row],[data_fim_real]]-Tabela1[[#This Row],[data_inicio_real]])</f>
        <v/>
      </c>
    </row>
    <row r="55" spans="1:17" ht="16.5" x14ac:dyDescent="0.5">
      <c r="A55" t="s">
        <v>183</v>
      </c>
      <c r="B55" t="s">
        <v>184</v>
      </c>
      <c r="C55" t="s">
        <v>185</v>
      </c>
      <c r="D55" t="s">
        <v>58</v>
      </c>
      <c r="E55" t="s">
        <v>42</v>
      </c>
      <c r="F55" s="1">
        <v>46158</v>
      </c>
      <c r="G55" s="1">
        <v>46189</v>
      </c>
      <c r="H55" s="1">
        <v>46156</v>
      </c>
      <c r="I55" s="1"/>
      <c r="J55" s="2">
        <v>56191.74</v>
      </c>
      <c r="K55" s="2">
        <v>49435</v>
      </c>
      <c r="L55" s="2">
        <v>83494.350000000006</v>
      </c>
      <c r="M55">
        <v>1188</v>
      </c>
      <c r="N55">
        <v>824</v>
      </c>
      <c r="O55" t="s">
        <v>34</v>
      </c>
      <c r="P55" s="2">
        <f>Tabela1[[#This Row],[orcamento_aprovado]]-Tabela1[[#This Row],[custo_real_acumulado]]</f>
        <v>6756.739999999998</v>
      </c>
      <c r="Q55" t="str">
        <f>IF(Tabela1[[#This Row],[data_fim_real]]="","",Tabela1[[#This Row],[data_fim_real]]-Tabela1[[#This Row],[data_inicio_real]])</f>
        <v/>
      </c>
    </row>
    <row r="56" spans="1:17" ht="16.5" x14ac:dyDescent="0.5">
      <c r="A56" t="s">
        <v>186</v>
      </c>
      <c r="B56" t="s">
        <v>187</v>
      </c>
      <c r="C56" t="s">
        <v>188</v>
      </c>
      <c r="D56" t="s">
        <v>33</v>
      </c>
      <c r="E56" t="s">
        <v>43</v>
      </c>
      <c r="F56" s="1">
        <v>46355</v>
      </c>
      <c r="G56" s="1">
        <v>46387</v>
      </c>
      <c r="H56" s="1">
        <v>46357</v>
      </c>
      <c r="I56" s="1"/>
      <c r="J56" s="2">
        <v>108161.65</v>
      </c>
      <c r="K56" s="2">
        <v>90473.98</v>
      </c>
      <c r="L56" s="2">
        <v>87663.61</v>
      </c>
      <c r="M56">
        <v>318</v>
      </c>
      <c r="N56">
        <v>211</v>
      </c>
      <c r="O56" t="s">
        <v>21</v>
      </c>
      <c r="P56" s="2">
        <f>Tabela1[[#This Row],[orcamento_aprovado]]-Tabela1[[#This Row],[custo_real_acumulado]]</f>
        <v>17687.669999999998</v>
      </c>
      <c r="Q56" t="str">
        <f>IF(Tabela1[[#This Row],[data_fim_real]]="","",Tabela1[[#This Row],[data_fim_real]]-Tabela1[[#This Row],[data_inicio_real]])</f>
        <v/>
      </c>
    </row>
    <row r="57" spans="1:17" ht="16.5" x14ac:dyDescent="0.5">
      <c r="A57" t="s">
        <v>189</v>
      </c>
      <c r="B57" t="s">
        <v>190</v>
      </c>
      <c r="C57" t="s">
        <v>191</v>
      </c>
      <c r="D57" t="s">
        <v>33</v>
      </c>
      <c r="E57" t="s">
        <v>43</v>
      </c>
      <c r="F57" s="1">
        <v>46273</v>
      </c>
      <c r="G57" s="1">
        <v>46351</v>
      </c>
      <c r="H57" s="1">
        <v>46260</v>
      </c>
      <c r="I57" s="1">
        <v>46356</v>
      </c>
      <c r="J57" s="2">
        <v>491127.59</v>
      </c>
      <c r="K57" s="2">
        <v>580462.09</v>
      </c>
      <c r="L57" s="2">
        <v>339958.72</v>
      </c>
      <c r="M57">
        <v>2832</v>
      </c>
      <c r="N57">
        <v>3301</v>
      </c>
      <c r="O57" t="s">
        <v>26</v>
      </c>
      <c r="P57" s="2">
        <f>Tabela1[[#This Row],[orcamento_aprovado]]-Tabela1[[#This Row],[custo_real_acumulado]]</f>
        <v>-89334.499999999942</v>
      </c>
      <c r="Q57">
        <f>IF(Tabela1[[#This Row],[data_fim_real]]="","",Tabela1[[#This Row],[data_fim_real]]-Tabela1[[#This Row],[data_inicio_real]])</f>
        <v>96</v>
      </c>
    </row>
    <row r="58" spans="1:17" ht="16.5" x14ac:dyDescent="0.5">
      <c r="A58" t="s">
        <v>192</v>
      </c>
      <c r="B58" t="s">
        <v>193</v>
      </c>
      <c r="C58" t="s">
        <v>194</v>
      </c>
      <c r="D58" t="s">
        <v>38</v>
      </c>
      <c r="E58" t="s">
        <v>20</v>
      </c>
      <c r="F58" s="1">
        <v>46362</v>
      </c>
      <c r="G58" s="1">
        <v>46387</v>
      </c>
      <c r="H58" s="1">
        <v>46347</v>
      </c>
      <c r="I58" s="1">
        <v>46362</v>
      </c>
      <c r="J58" s="2">
        <v>59882.83</v>
      </c>
      <c r="K58" s="2">
        <v>54883.41</v>
      </c>
      <c r="L58" s="2">
        <v>101936.38</v>
      </c>
      <c r="M58">
        <v>178</v>
      </c>
      <c r="N58">
        <v>194</v>
      </c>
      <c r="O58" t="s">
        <v>34</v>
      </c>
      <c r="P58" s="2">
        <f>Tabela1[[#This Row],[orcamento_aprovado]]-Tabela1[[#This Row],[custo_real_acumulado]]</f>
        <v>4999.4199999999983</v>
      </c>
      <c r="Q58">
        <f>IF(Tabela1[[#This Row],[data_fim_real]]="","",Tabela1[[#This Row],[data_fim_real]]-Tabela1[[#This Row],[data_inicio_real]])</f>
        <v>15</v>
      </c>
    </row>
    <row r="59" spans="1:17" ht="16.5" x14ac:dyDescent="0.5">
      <c r="A59" t="s">
        <v>195</v>
      </c>
      <c r="B59" t="s">
        <v>196</v>
      </c>
      <c r="C59" t="s">
        <v>197</v>
      </c>
      <c r="D59" t="s">
        <v>58</v>
      </c>
      <c r="E59" t="s">
        <v>19</v>
      </c>
      <c r="F59" s="1">
        <v>46089</v>
      </c>
      <c r="G59" s="1">
        <v>46136</v>
      </c>
      <c r="H59" s="1">
        <v>46097</v>
      </c>
      <c r="I59" s="1"/>
      <c r="J59" s="2">
        <v>521806.3</v>
      </c>
      <c r="K59" s="2">
        <v>38344.370000000003</v>
      </c>
      <c r="L59" s="2">
        <v>369640.65</v>
      </c>
      <c r="M59">
        <v>1412</v>
      </c>
      <c r="N59">
        <v>79</v>
      </c>
      <c r="O59" t="s">
        <v>21</v>
      </c>
      <c r="P59" s="2">
        <f>Tabela1[[#This Row],[orcamento_aprovado]]-Tabela1[[#This Row],[custo_real_acumulado]]</f>
        <v>483461.93</v>
      </c>
      <c r="Q59" t="str">
        <f>IF(Tabela1[[#This Row],[data_fim_real]]="","",Tabela1[[#This Row],[data_fim_real]]-Tabela1[[#This Row],[data_inicio_real]])</f>
        <v/>
      </c>
    </row>
    <row r="60" spans="1:17" ht="16.5" x14ac:dyDescent="0.5">
      <c r="A60" t="s">
        <v>198</v>
      </c>
      <c r="B60" t="s">
        <v>199</v>
      </c>
      <c r="C60" t="s">
        <v>200</v>
      </c>
      <c r="D60" t="s">
        <v>54</v>
      </c>
      <c r="E60" t="s">
        <v>43</v>
      </c>
      <c r="F60" s="1">
        <v>46326</v>
      </c>
      <c r="G60" s="1">
        <v>46377</v>
      </c>
      <c r="H60" s="1">
        <v>46326</v>
      </c>
      <c r="I60" s="1"/>
      <c r="J60" s="2">
        <v>113991.18</v>
      </c>
      <c r="K60" s="2">
        <v>72885.95</v>
      </c>
      <c r="L60" s="2">
        <v>128373.67</v>
      </c>
      <c r="M60">
        <v>871</v>
      </c>
      <c r="N60">
        <v>502</v>
      </c>
      <c r="O60" t="s">
        <v>26</v>
      </c>
      <c r="P60" s="2">
        <f>Tabela1[[#This Row],[orcamento_aprovado]]-Tabela1[[#This Row],[custo_real_acumulado]]</f>
        <v>41105.229999999996</v>
      </c>
      <c r="Q60" t="str">
        <f>IF(Tabela1[[#This Row],[data_fim_real]]="","",Tabela1[[#This Row],[data_fim_real]]-Tabela1[[#This Row],[data_inicio_real]])</f>
        <v/>
      </c>
    </row>
    <row r="61" spans="1:17" ht="16.5" x14ac:dyDescent="0.5">
      <c r="A61" t="s">
        <v>201</v>
      </c>
      <c r="B61" t="s">
        <v>202</v>
      </c>
      <c r="C61" t="s">
        <v>103</v>
      </c>
      <c r="D61" t="s">
        <v>38</v>
      </c>
      <c r="E61" t="s">
        <v>43</v>
      </c>
      <c r="F61" s="1">
        <v>46334</v>
      </c>
      <c r="G61" s="1">
        <v>46387</v>
      </c>
      <c r="H61" s="1"/>
      <c r="I61" s="1"/>
      <c r="J61" s="2">
        <v>50000</v>
      </c>
      <c r="K61" s="2">
        <v>0</v>
      </c>
      <c r="L61" s="2">
        <v>97929.85</v>
      </c>
      <c r="M61">
        <v>1174</v>
      </c>
      <c r="N61">
        <v>0</v>
      </c>
      <c r="O61" t="s">
        <v>34</v>
      </c>
      <c r="P61" s="2">
        <f>Tabela1[[#This Row],[orcamento_aprovado]]-Tabela1[[#This Row],[custo_real_acumulado]]</f>
        <v>50000</v>
      </c>
      <c r="Q61" t="str">
        <f>IF(Tabela1[[#This Row],[data_fim_real]]="","",Tabela1[[#This Row],[data_fim_real]]-Tabela1[[#This Row],[data_inicio_real]])</f>
        <v/>
      </c>
    </row>
    <row r="62" spans="1:17" ht="16.5" x14ac:dyDescent="0.5">
      <c r="A62" t="s">
        <v>203</v>
      </c>
      <c r="B62" t="s">
        <v>204</v>
      </c>
      <c r="C62" t="s">
        <v>205</v>
      </c>
      <c r="D62" t="s">
        <v>18</v>
      </c>
      <c r="E62" t="s">
        <v>19</v>
      </c>
      <c r="F62" s="1">
        <v>46243</v>
      </c>
      <c r="G62" s="1">
        <v>46259</v>
      </c>
      <c r="H62" s="1">
        <v>46254</v>
      </c>
      <c r="I62" s="1"/>
      <c r="J62" s="2">
        <v>141112.37</v>
      </c>
      <c r="K62" s="2">
        <v>80762.399999999994</v>
      </c>
      <c r="L62" s="2">
        <v>273458.99</v>
      </c>
      <c r="M62">
        <v>299</v>
      </c>
      <c r="N62">
        <v>116</v>
      </c>
      <c r="O62" t="s">
        <v>21</v>
      </c>
      <c r="P62" s="2">
        <f>Tabela1[[#This Row],[orcamento_aprovado]]-Tabela1[[#This Row],[custo_real_acumulado]]</f>
        <v>60349.97</v>
      </c>
      <c r="Q62" t="str">
        <f>IF(Tabela1[[#This Row],[data_fim_real]]="","",Tabela1[[#This Row],[data_fim_real]]-Tabela1[[#This Row],[data_inicio_real]])</f>
        <v/>
      </c>
    </row>
    <row r="63" spans="1:17" ht="16.5" x14ac:dyDescent="0.5">
      <c r="A63" t="s">
        <v>206</v>
      </c>
      <c r="B63" t="s">
        <v>207</v>
      </c>
      <c r="C63" t="s">
        <v>208</v>
      </c>
      <c r="D63" t="s">
        <v>54</v>
      </c>
      <c r="E63" t="s">
        <v>20</v>
      </c>
      <c r="F63" s="1">
        <v>46213</v>
      </c>
      <c r="G63" s="1">
        <v>46332</v>
      </c>
      <c r="H63" s="1"/>
      <c r="I63" s="1"/>
      <c r="J63" s="2">
        <v>137318.22</v>
      </c>
      <c r="K63" s="2">
        <v>0</v>
      </c>
      <c r="L63" s="2">
        <v>124359.47</v>
      </c>
      <c r="M63">
        <v>2344</v>
      </c>
      <c r="N63">
        <v>0</v>
      </c>
      <c r="O63" t="s">
        <v>26</v>
      </c>
      <c r="P63" s="2">
        <f>Tabela1[[#This Row],[orcamento_aprovado]]-Tabela1[[#This Row],[custo_real_acumulado]]</f>
        <v>137318.22</v>
      </c>
      <c r="Q63" t="str">
        <f>IF(Tabela1[[#This Row],[data_fim_real]]="","",Tabela1[[#This Row],[data_fim_real]]-Tabela1[[#This Row],[data_inicio_real]])</f>
        <v/>
      </c>
    </row>
    <row r="64" spans="1:17" ht="16.5" x14ac:dyDescent="0.5">
      <c r="A64" t="s">
        <v>209</v>
      </c>
      <c r="B64" t="s">
        <v>210</v>
      </c>
      <c r="C64" t="s">
        <v>211</v>
      </c>
      <c r="D64" t="s">
        <v>25</v>
      </c>
      <c r="E64" t="s">
        <v>43</v>
      </c>
      <c r="F64" s="1">
        <v>46137</v>
      </c>
      <c r="G64" s="1">
        <v>46261</v>
      </c>
      <c r="H64" s="1">
        <v>46149</v>
      </c>
      <c r="I64" s="1"/>
      <c r="J64" s="2">
        <v>50000</v>
      </c>
      <c r="K64" s="2">
        <v>35496.019999999997</v>
      </c>
      <c r="L64" s="2">
        <v>25495.040000000001</v>
      </c>
      <c r="M64">
        <v>1126</v>
      </c>
      <c r="N64">
        <v>619</v>
      </c>
      <c r="O64" t="s">
        <v>34</v>
      </c>
      <c r="P64" s="2">
        <f>Tabela1[[#This Row],[orcamento_aprovado]]-Tabela1[[#This Row],[custo_real_acumulado]]</f>
        <v>14503.980000000003</v>
      </c>
      <c r="Q64" t="str">
        <f>IF(Tabela1[[#This Row],[data_fim_real]]="","",Tabela1[[#This Row],[data_fim_real]]-Tabela1[[#This Row],[data_inicio_real]])</f>
        <v/>
      </c>
    </row>
    <row r="65" spans="1:17" ht="16.5" x14ac:dyDescent="0.5">
      <c r="A65" t="s">
        <v>212</v>
      </c>
      <c r="B65" t="s">
        <v>213</v>
      </c>
      <c r="C65" t="s">
        <v>115</v>
      </c>
      <c r="D65" t="s">
        <v>54</v>
      </c>
      <c r="E65" t="s">
        <v>19</v>
      </c>
      <c r="F65" s="1">
        <v>46096</v>
      </c>
      <c r="G65" s="1">
        <v>46128</v>
      </c>
      <c r="H65" s="1">
        <v>46097</v>
      </c>
      <c r="I65" s="1"/>
      <c r="J65" s="2">
        <v>626421.16</v>
      </c>
      <c r="K65" s="2">
        <v>195265.88</v>
      </c>
      <c r="L65" s="2">
        <v>463662.05</v>
      </c>
      <c r="M65">
        <v>489</v>
      </c>
      <c r="N65">
        <v>185</v>
      </c>
      <c r="O65" t="s">
        <v>21</v>
      </c>
      <c r="P65" s="2">
        <f>Tabela1[[#This Row],[orcamento_aprovado]]-Tabela1[[#This Row],[custo_real_acumulado]]</f>
        <v>431155.28</v>
      </c>
      <c r="Q65" t="str">
        <f>IF(Tabela1[[#This Row],[data_fim_real]]="","",Tabela1[[#This Row],[data_fim_real]]-Tabela1[[#This Row],[data_inicio_real]])</f>
        <v/>
      </c>
    </row>
    <row r="66" spans="1:17" ht="16.5" x14ac:dyDescent="0.5">
      <c r="A66" t="s">
        <v>214</v>
      </c>
      <c r="B66" t="s">
        <v>215</v>
      </c>
      <c r="C66" t="s">
        <v>157</v>
      </c>
      <c r="D66" t="s">
        <v>54</v>
      </c>
      <c r="E66" t="s">
        <v>43</v>
      </c>
      <c r="F66" s="1">
        <v>46049</v>
      </c>
      <c r="G66" s="1">
        <v>46103</v>
      </c>
      <c r="H66" s="1">
        <v>46048</v>
      </c>
      <c r="I66" s="1">
        <v>46105</v>
      </c>
      <c r="J66" s="2">
        <v>73224.149999999994</v>
      </c>
      <c r="K66" s="2">
        <v>84449.07</v>
      </c>
      <c r="L66" s="2">
        <v>118801.73</v>
      </c>
      <c r="M66">
        <v>1848</v>
      </c>
      <c r="N66">
        <v>1907</v>
      </c>
      <c r="O66" t="s">
        <v>26</v>
      </c>
      <c r="P66" s="2">
        <f>Tabela1[[#This Row],[orcamento_aprovado]]-Tabela1[[#This Row],[custo_real_acumulado]]</f>
        <v>-11224.920000000013</v>
      </c>
      <c r="Q66">
        <f>IF(Tabela1[[#This Row],[data_fim_real]]="","",Tabela1[[#This Row],[data_fim_real]]-Tabela1[[#This Row],[data_inicio_real]])</f>
        <v>57</v>
      </c>
    </row>
    <row r="67" spans="1:17" ht="16.5" x14ac:dyDescent="0.5">
      <c r="A67" t="s">
        <v>216</v>
      </c>
      <c r="B67" t="s">
        <v>217</v>
      </c>
      <c r="C67" t="s">
        <v>218</v>
      </c>
      <c r="D67" t="s">
        <v>18</v>
      </c>
      <c r="E67" t="s">
        <v>43</v>
      </c>
      <c r="F67" s="1">
        <v>46364</v>
      </c>
      <c r="G67" s="1">
        <v>46385</v>
      </c>
      <c r="H67" s="1">
        <v>46361</v>
      </c>
      <c r="I67" s="1"/>
      <c r="J67" s="2">
        <v>124081.3</v>
      </c>
      <c r="K67" s="2">
        <v>71755.02</v>
      </c>
      <c r="L67" s="2">
        <v>57731.91</v>
      </c>
      <c r="M67">
        <v>531</v>
      </c>
      <c r="N67">
        <v>276</v>
      </c>
      <c r="O67" t="s">
        <v>34</v>
      </c>
      <c r="P67" s="2">
        <f>Tabela1[[#This Row],[orcamento_aprovado]]-Tabela1[[#This Row],[custo_real_acumulado]]</f>
        <v>52326.28</v>
      </c>
      <c r="Q67" t="str">
        <f>IF(Tabela1[[#This Row],[data_fim_real]]="","",Tabela1[[#This Row],[data_fim_real]]-Tabela1[[#This Row],[data_inicio_real]])</f>
        <v/>
      </c>
    </row>
    <row r="68" spans="1:17" ht="16.5" x14ac:dyDescent="0.5">
      <c r="A68" t="s">
        <v>219</v>
      </c>
      <c r="B68" t="s">
        <v>220</v>
      </c>
      <c r="C68" t="s">
        <v>221</v>
      </c>
      <c r="D68" t="s">
        <v>142</v>
      </c>
      <c r="E68" t="s">
        <v>19</v>
      </c>
      <c r="F68" s="1">
        <v>46279</v>
      </c>
      <c r="G68" s="1">
        <v>46361</v>
      </c>
      <c r="H68" s="1">
        <v>46307</v>
      </c>
      <c r="I68" s="1"/>
      <c r="J68" s="2">
        <v>66732.570000000007</v>
      </c>
      <c r="K68" s="2">
        <v>30676.61</v>
      </c>
      <c r="L68" s="2">
        <v>53876.79</v>
      </c>
      <c r="M68">
        <v>3351</v>
      </c>
      <c r="N68">
        <v>1439</v>
      </c>
      <c r="O68" t="s">
        <v>21</v>
      </c>
      <c r="P68" s="2">
        <f>Tabela1[[#This Row],[orcamento_aprovado]]-Tabela1[[#This Row],[custo_real_acumulado]]</f>
        <v>36055.960000000006</v>
      </c>
      <c r="Q68" t="str">
        <f>IF(Tabela1[[#This Row],[data_fim_real]]="","",Tabela1[[#This Row],[data_fim_real]]-Tabela1[[#This Row],[data_inicio_real]])</f>
        <v/>
      </c>
    </row>
    <row r="69" spans="1:17" ht="16.5" x14ac:dyDescent="0.5">
      <c r="A69" t="s">
        <v>222</v>
      </c>
      <c r="B69" t="s">
        <v>223</v>
      </c>
      <c r="C69" t="s">
        <v>224</v>
      </c>
      <c r="D69" t="s">
        <v>38</v>
      </c>
      <c r="E69" t="s">
        <v>43</v>
      </c>
      <c r="F69" s="1">
        <v>46258</v>
      </c>
      <c r="G69" s="1">
        <v>46363</v>
      </c>
      <c r="H69" s="1">
        <v>46255</v>
      </c>
      <c r="I69" s="1">
        <v>46298</v>
      </c>
      <c r="J69" s="2">
        <v>50673.22</v>
      </c>
      <c r="K69" s="2">
        <v>22675.62</v>
      </c>
      <c r="L69" s="2">
        <v>30679.79</v>
      </c>
      <c r="M69">
        <v>1715</v>
      </c>
      <c r="N69">
        <v>704</v>
      </c>
      <c r="O69" t="s">
        <v>26</v>
      </c>
      <c r="P69" s="2">
        <f>Tabela1[[#This Row],[orcamento_aprovado]]-Tabela1[[#This Row],[custo_real_acumulado]]</f>
        <v>27997.600000000002</v>
      </c>
      <c r="Q69">
        <f>IF(Tabela1[[#This Row],[data_fim_real]]="","",Tabela1[[#This Row],[data_fim_real]]-Tabela1[[#This Row],[data_inicio_real]])</f>
        <v>43</v>
      </c>
    </row>
    <row r="70" spans="1:17" ht="16.5" x14ac:dyDescent="0.5">
      <c r="A70" t="s">
        <v>225</v>
      </c>
      <c r="B70" t="s">
        <v>226</v>
      </c>
      <c r="C70" t="s">
        <v>227</v>
      </c>
      <c r="D70" t="s">
        <v>18</v>
      </c>
      <c r="E70" t="s">
        <v>43</v>
      </c>
      <c r="F70" s="1">
        <v>46353</v>
      </c>
      <c r="G70" s="1">
        <v>46387</v>
      </c>
      <c r="H70" s="1">
        <v>46343</v>
      </c>
      <c r="I70" s="1"/>
      <c r="J70" s="2">
        <v>117114.15</v>
      </c>
      <c r="K70" s="2">
        <v>71826.350000000006</v>
      </c>
      <c r="L70" s="2">
        <v>249416.23</v>
      </c>
      <c r="M70">
        <v>735</v>
      </c>
      <c r="N70">
        <v>501</v>
      </c>
      <c r="O70" t="s">
        <v>34</v>
      </c>
      <c r="P70" s="2">
        <f>Tabela1[[#This Row],[orcamento_aprovado]]-Tabela1[[#This Row],[custo_real_acumulado]]</f>
        <v>45287.799999999988</v>
      </c>
      <c r="Q70" t="str">
        <f>IF(Tabela1[[#This Row],[data_fim_real]]="","",Tabela1[[#This Row],[data_fim_real]]-Tabela1[[#This Row],[data_inicio_real]])</f>
        <v/>
      </c>
    </row>
    <row r="71" spans="1:17" ht="16.5" x14ac:dyDescent="0.5">
      <c r="A71" t="s">
        <v>228</v>
      </c>
      <c r="B71" t="s">
        <v>229</v>
      </c>
      <c r="C71" t="s">
        <v>230</v>
      </c>
      <c r="D71" t="s">
        <v>25</v>
      </c>
      <c r="E71" t="s">
        <v>19</v>
      </c>
      <c r="F71" s="1">
        <v>46344</v>
      </c>
      <c r="G71" s="1">
        <v>46387</v>
      </c>
      <c r="H71" s="1">
        <v>46348</v>
      </c>
      <c r="I71" s="1"/>
      <c r="J71" s="2">
        <v>213632.38</v>
      </c>
      <c r="K71" s="2">
        <v>53968.71</v>
      </c>
      <c r="L71" s="2">
        <v>417847.83</v>
      </c>
      <c r="M71">
        <v>1370</v>
      </c>
      <c r="N71">
        <v>308</v>
      </c>
      <c r="O71" t="s">
        <v>21</v>
      </c>
      <c r="P71" s="2">
        <f>Tabela1[[#This Row],[orcamento_aprovado]]-Tabela1[[#This Row],[custo_real_acumulado]]</f>
        <v>159663.67000000001</v>
      </c>
      <c r="Q71" t="str">
        <f>IF(Tabela1[[#This Row],[data_fim_real]]="","",Tabela1[[#This Row],[data_fim_real]]-Tabela1[[#This Row],[data_inicio_real]])</f>
        <v/>
      </c>
    </row>
    <row r="72" spans="1:17" ht="16.5" x14ac:dyDescent="0.5">
      <c r="A72" t="s">
        <v>231</v>
      </c>
      <c r="B72" t="s">
        <v>232</v>
      </c>
      <c r="C72" t="s">
        <v>221</v>
      </c>
      <c r="D72" t="s">
        <v>71</v>
      </c>
      <c r="E72" t="s">
        <v>20</v>
      </c>
      <c r="F72" s="1">
        <v>46337</v>
      </c>
      <c r="G72" s="1">
        <v>46361</v>
      </c>
      <c r="H72" s="1">
        <v>46319</v>
      </c>
      <c r="I72" s="1"/>
      <c r="J72" s="2">
        <v>66062.509999999995</v>
      </c>
      <c r="K72" s="2">
        <v>49159.23</v>
      </c>
      <c r="L72" s="2">
        <v>30159.119999999999</v>
      </c>
      <c r="M72">
        <v>632</v>
      </c>
      <c r="N72">
        <v>440</v>
      </c>
      <c r="O72" t="s">
        <v>26</v>
      </c>
      <c r="P72" s="2">
        <f>Tabela1[[#This Row],[orcamento_aprovado]]-Tabela1[[#This Row],[custo_real_acumulado]]</f>
        <v>16903.279999999992</v>
      </c>
      <c r="Q72" t="str">
        <f>IF(Tabela1[[#This Row],[data_fim_real]]="","",Tabela1[[#This Row],[data_fim_real]]-Tabela1[[#This Row],[data_inicio_real]])</f>
        <v/>
      </c>
    </row>
    <row r="73" spans="1:17" ht="16.5" x14ac:dyDescent="0.5">
      <c r="A73" t="s">
        <v>233</v>
      </c>
      <c r="B73" t="s">
        <v>234</v>
      </c>
      <c r="C73" t="s">
        <v>235</v>
      </c>
      <c r="D73" t="s">
        <v>54</v>
      </c>
      <c r="E73" t="s">
        <v>43</v>
      </c>
      <c r="F73" s="1">
        <v>46281</v>
      </c>
      <c r="G73" s="1">
        <v>46302</v>
      </c>
      <c r="H73" s="1">
        <v>46278</v>
      </c>
      <c r="I73" s="1">
        <v>46305</v>
      </c>
      <c r="J73" s="2">
        <v>119930.96</v>
      </c>
      <c r="K73" s="2">
        <v>144833.39000000001</v>
      </c>
      <c r="L73" s="2">
        <v>88378.77</v>
      </c>
      <c r="M73">
        <v>809</v>
      </c>
      <c r="N73">
        <v>921</v>
      </c>
      <c r="O73" t="s">
        <v>34</v>
      </c>
      <c r="P73" s="2">
        <f>Tabela1[[#This Row],[orcamento_aprovado]]-Tabela1[[#This Row],[custo_real_acumulado]]</f>
        <v>-24902.430000000008</v>
      </c>
      <c r="Q73">
        <f>IF(Tabela1[[#This Row],[data_fim_real]]="","",Tabela1[[#This Row],[data_fim_real]]-Tabela1[[#This Row],[data_inicio_real]])</f>
        <v>27</v>
      </c>
    </row>
    <row r="74" spans="1:17" ht="16.5" x14ac:dyDescent="0.5">
      <c r="A74" t="s">
        <v>236</v>
      </c>
      <c r="B74" t="s">
        <v>237</v>
      </c>
      <c r="C74" t="s">
        <v>77</v>
      </c>
      <c r="D74" t="s">
        <v>38</v>
      </c>
      <c r="E74" t="s">
        <v>19</v>
      </c>
      <c r="F74" s="1">
        <v>46191</v>
      </c>
      <c r="G74" s="1">
        <v>46288</v>
      </c>
      <c r="H74" s="1">
        <v>46207</v>
      </c>
      <c r="I74" s="1"/>
      <c r="J74" s="2">
        <v>174068.3</v>
      </c>
      <c r="K74" s="2">
        <v>128153.85</v>
      </c>
      <c r="L74" s="2">
        <v>91017.8</v>
      </c>
      <c r="M74">
        <v>2883</v>
      </c>
      <c r="N74">
        <v>1648</v>
      </c>
      <c r="O74" t="s">
        <v>21</v>
      </c>
      <c r="P74" s="2">
        <f>Tabela1[[#This Row],[orcamento_aprovado]]-Tabela1[[#This Row],[custo_real_acumulado]]</f>
        <v>45914.449999999983</v>
      </c>
      <c r="Q74" t="str">
        <f>IF(Tabela1[[#This Row],[data_fim_real]]="","",Tabela1[[#This Row],[data_fim_real]]-Tabela1[[#This Row],[data_inicio_real]])</f>
        <v/>
      </c>
    </row>
    <row r="75" spans="1:17" ht="16.5" x14ac:dyDescent="0.5">
      <c r="A75" t="s">
        <v>238</v>
      </c>
      <c r="B75" t="s">
        <v>239</v>
      </c>
      <c r="C75" t="s">
        <v>240</v>
      </c>
      <c r="D75" t="s">
        <v>78</v>
      </c>
      <c r="E75" t="s">
        <v>20</v>
      </c>
      <c r="F75" s="1">
        <v>46352</v>
      </c>
      <c r="G75" s="1">
        <v>46387</v>
      </c>
      <c r="H75" s="1"/>
      <c r="I75" s="1"/>
      <c r="J75" s="2">
        <v>218950.68</v>
      </c>
      <c r="K75" s="2">
        <v>0</v>
      </c>
      <c r="L75" s="2">
        <v>70519.42</v>
      </c>
      <c r="M75">
        <v>711</v>
      </c>
      <c r="N75">
        <v>0</v>
      </c>
      <c r="O75" t="s">
        <v>26</v>
      </c>
      <c r="P75" s="2">
        <f>Tabela1[[#This Row],[orcamento_aprovado]]-Tabela1[[#This Row],[custo_real_acumulado]]</f>
        <v>218950.68</v>
      </c>
      <c r="Q75" t="str">
        <f>IF(Tabela1[[#This Row],[data_fim_real]]="","",Tabela1[[#This Row],[data_fim_real]]-Tabela1[[#This Row],[data_inicio_real]])</f>
        <v/>
      </c>
    </row>
    <row r="76" spans="1:17" ht="16.5" x14ac:dyDescent="0.5">
      <c r="A76" t="s">
        <v>241</v>
      </c>
      <c r="B76" t="s">
        <v>242</v>
      </c>
      <c r="C76" t="s">
        <v>243</v>
      </c>
      <c r="D76" t="s">
        <v>71</v>
      </c>
      <c r="E76" t="s">
        <v>20</v>
      </c>
      <c r="F76" s="1">
        <v>46299</v>
      </c>
      <c r="G76" s="1">
        <v>46340</v>
      </c>
      <c r="H76" s="1"/>
      <c r="I76" s="1"/>
      <c r="J76" s="2">
        <v>95018.880000000005</v>
      </c>
      <c r="K76" s="2">
        <v>0</v>
      </c>
      <c r="L76" s="2">
        <v>206633.66</v>
      </c>
      <c r="M76">
        <v>999</v>
      </c>
      <c r="N76">
        <v>0</v>
      </c>
      <c r="O76" t="s">
        <v>34</v>
      </c>
      <c r="P76" s="2">
        <f>Tabela1[[#This Row],[orcamento_aprovado]]-Tabela1[[#This Row],[custo_real_acumulado]]</f>
        <v>95018.880000000005</v>
      </c>
      <c r="Q76" t="str">
        <f>IF(Tabela1[[#This Row],[data_fim_real]]="","",Tabela1[[#This Row],[data_fim_real]]-Tabela1[[#This Row],[data_inicio_real]])</f>
        <v/>
      </c>
    </row>
    <row r="77" spans="1:17" ht="16.5" x14ac:dyDescent="0.5">
      <c r="A77" t="s">
        <v>244</v>
      </c>
      <c r="B77" t="s">
        <v>245</v>
      </c>
      <c r="C77" t="s">
        <v>246</v>
      </c>
      <c r="D77" t="s">
        <v>71</v>
      </c>
      <c r="E77" t="s">
        <v>43</v>
      </c>
      <c r="F77" s="1">
        <v>46168</v>
      </c>
      <c r="G77" s="1">
        <v>46212</v>
      </c>
      <c r="H77" s="1">
        <v>46171</v>
      </c>
      <c r="I77" s="1"/>
      <c r="J77" s="2">
        <v>92142.29</v>
      </c>
      <c r="K77" s="2">
        <v>38984.21</v>
      </c>
      <c r="L77" s="2">
        <v>50877.279999999999</v>
      </c>
      <c r="M77">
        <v>1142</v>
      </c>
      <c r="N77">
        <v>644</v>
      </c>
      <c r="O77" t="s">
        <v>21</v>
      </c>
      <c r="P77" s="2">
        <f>Tabela1[[#This Row],[orcamento_aprovado]]-Tabela1[[#This Row],[custo_real_acumulado]]</f>
        <v>53158.079999999994</v>
      </c>
      <c r="Q77" t="str">
        <f>IF(Tabela1[[#This Row],[data_fim_real]]="","",Tabela1[[#This Row],[data_fim_real]]-Tabela1[[#This Row],[data_inicio_real]])</f>
        <v/>
      </c>
    </row>
    <row r="78" spans="1:17" ht="16.5" x14ac:dyDescent="0.5">
      <c r="A78" t="s">
        <v>247</v>
      </c>
      <c r="B78" t="s">
        <v>248</v>
      </c>
      <c r="C78" t="s">
        <v>249</v>
      </c>
      <c r="D78" t="s">
        <v>38</v>
      </c>
      <c r="E78" t="s">
        <v>42</v>
      </c>
      <c r="F78" s="1">
        <v>46049</v>
      </c>
      <c r="G78" s="1">
        <v>46126</v>
      </c>
      <c r="H78" s="1">
        <v>46046</v>
      </c>
      <c r="I78" s="1">
        <v>46143</v>
      </c>
      <c r="J78" s="2">
        <v>135237.57</v>
      </c>
      <c r="K78" s="2">
        <v>153580.49</v>
      </c>
      <c r="L78" s="2">
        <v>246576.41</v>
      </c>
      <c r="M78">
        <v>3813</v>
      </c>
      <c r="N78">
        <v>3740</v>
      </c>
      <c r="O78" t="s">
        <v>26</v>
      </c>
      <c r="P78" s="2">
        <f>Tabela1[[#This Row],[orcamento_aprovado]]-Tabela1[[#This Row],[custo_real_acumulado]]</f>
        <v>-18342.919999999984</v>
      </c>
      <c r="Q78">
        <f>IF(Tabela1[[#This Row],[data_fim_real]]="","",Tabela1[[#This Row],[data_fim_real]]-Tabela1[[#This Row],[data_inicio_real]])</f>
        <v>97</v>
      </c>
    </row>
    <row r="79" spans="1:17" ht="16.5" x14ac:dyDescent="0.5">
      <c r="A79" t="s">
        <v>250</v>
      </c>
      <c r="B79" t="s">
        <v>251</v>
      </c>
      <c r="C79" t="s">
        <v>252</v>
      </c>
      <c r="D79" t="s">
        <v>38</v>
      </c>
      <c r="E79" t="s">
        <v>42</v>
      </c>
      <c r="F79" s="1">
        <v>46235</v>
      </c>
      <c r="G79" s="1">
        <v>46324</v>
      </c>
      <c r="H79" s="1">
        <v>46259</v>
      </c>
      <c r="I79" s="1"/>
      <c r="J79" s="2">
        <v>116266.41</v>
      </c>
      <c r="K79" s="2">
        <v>45734.95</v>
      </c>
      <c r="L79" s="2">
        <v>70124.33</v>
      </c>
      <c r="M79">
        <v>1992</v>
      </c>
      <c r="N79">
        <v>896</v>
      </c>
      <c r="O79" t="s">
        <v>34</v>
      </c>
      <c r="P79" s="2">
        <f>Tabela1[[#This Row],[orcamento_aprovado]]-Tabela1[[#This Row],[custo_real_acumulado]]</f>
        <v>70531.460000000006</v>
      </c>
      <c r="Q79" t="str">
        <f>IF(Tabela1[[#This Row],[data_fim_real]]="","",Tabela1[[#This Row],[data_fim_real]]-Tabela1[[#This Row],[data_inicio_real]])</f>
        <v/>
      </c>
    </row>
    <row r="80" spans="1:17" ht="16.5" x14ac:dyDescent="0.5">
      <c r="A80" t="s">
        <v>253</v>
      </c>
      <c r="B80" t="s">
        <v>254</v>
      </c>
      <c r="C80" t="s">
        <v>255</v>
      </c>
      <c r="D80" t="s">
        <v>142</v>
      </c>
      <c r="E80" t="s">
        <v>42</v>
      </c>
      <c r="F80" s="1">
        <v>46252</v>
      </c>
      <c r="G80" s="1">
        <v>46387</v>
      </c>
      <c r="H80" s="1">
        <v>46259</v>
      </c>
      <c r="I80" s="1">
        <v>46387</v>
      </c>
      <c r="J80" s="2">
        <v>108665</v>
      </c>
      <c r="K80" s="2">
        <v>101038.56</v>
      </c>
      <c r="L80" s="2">
        <v>173041.8</v>
      </c>
      <c r="M80">
        <v>2212</v>
      </c>
      <c r="N80">
        <v>1805</v>
      </c>
      <c r="O80" t="s">
        <v>21</v>
      </c>
      <c r="P80" s="2">
        <f>Tabela1[[#This Row],[orcamento_aprovado]]-Tabela1[[#This Row],[custo_real_acumulado]]</f>
        <v>7626.4400000000023</v>
      </c>
      <c r="Q80">
        <f>IF(Tabela1[[#This Row],[data_fim_real]]="","",Tabela1[[#This Row],[data_fim_real]]-Tabela1[[#This Row],[data_inicio_real]])</f>
        <v>128</v>
      </c>
    </row>
    <row r="81" spans="1:17" ht="16.5" x14ac:dyDescent="0.5">
      <c r="A81" t="s">
        <v>256</v>
      </c>
      <c r="B81" t="s">
        <v>257</v>
      </c>
      <c r="C81" t="s">
        <v>258</v>
      </c>
      <c r="D81" t="s">
        <v>78</v>
      </c>
      <c r="E81" t="s">
        <v>20</v>
      </c>
      <c r="F81" s="1">
        <v>46079</v>
      </c>
      <c r="G81" s="1">
        <v>46161</v>
      </c>
      <c r="H81" s="1">
        <v>46092</v>
      </c>
      <c r="I81" s="1"/>
      <c r="J81" s="2">
        <v>68383.89</v>
      </c>
      <c r="K81" s="2">
        <v>53606.05</v>
      </c>
      <c r="L81" s="2">
        <v>75309.11</v>
      </c>
      <c r="M81">
        <v>4239</v>
      </c>
      <c r="N81">
        <v>2819</v>
      </c>
      <c r="O81" t="s">
        <v>26</v>
      </c>
      <c r="P81" s="2">
        <f>Tabela1[[#This Row],[orcamento_aprovado]]-Tabela1[[#This Row],[custo_real_acumulado]]</f>
        <v>14777.839999999997</v>
      </c>
      <c r="Q81" t="str">
        <f>IF(Tabela1[[#This Row],[data_fim_real]]="","",Tabela1[[#This Row],[data_fim_real]]-Tabela1[[#This Row],[data_inicio_real]])</f>
        <v/>
      </c>
    </row>
    <row r="82" spans="1:17" ht="16.5" x14ac:dyDescent="0.5">
      <c r="A82" t="s">
        <v>259</v>
      </c>
      <c r="B82" t="s">
        <v>260</v>
      </c>
      <c r="C82" t="s">
        <v>32</v>
      </c>
      <c r="D82" t="s">
        <v>25</v>
      </c>
      <c r="E82" t="s">
        <v>20</v>
      </c>
      <c r="F82" s="1">
        <v>46292</v>
      </c>
      <c r="G82" s="1">
        <v>46384</v>
      </c>
      <c r="H82" s="1">
        <v>46297</v>
      </c>
      <c r="I82" s="1"/>
      <c r="J82" s="2">
        <v>57682.05</v>
      </c>
      <c r="K82" s="2">
        <v>25719.32</v>
      </c>
      <c r="L82" s="2">
        <v>110941.71</v>
      </c>
      <c r="M82">
        <v>2704</v>
      </c>
      <c r="N82">
        <v>1156</v>
      </c>
      <c r="O82" t="s">
        <v>34</v>
      </c>
      <c r="P82" s="2">
        <f>Tabela1[[#This Row],[orcamento_aprovado]]-Tabela1[[#This Row],[custo_real_acumulado]]</f>
        <v>31962.730000000003</v>
      </c>
      <c r="Q82" t="str">
        <f>IF(Tabela1[[#This Row],[data_fim_real]]="","",Tabela1[[#This Row],[data_fim_real]]-Tabela1[[#This Row],[data_inicio_real]])</f>
        <v/>
      </c>
    </row>
    <row r="83" spans="1:17" ht="16.5" x14ac:dyDescent="0.5">
      <c r="A83" t="s">
        <v>261</v>
      </c>
      <c r="B83" t="s">
        <v>262</v>
      </c>
      <c r="C83" t="s">
        <v>29</v>
      </c>
      <c r="D83" t="s">
        <v>58</v>
      </c>
      <c r="E83" t="s">
        <v>19</v>
      </c>
      <c r="F83" s="1">
        <v>46302</v>
      </c>
      <c r="G83" s="1">
        <v>46387</v>
      </c>
      <c r="H83" s="1">
        <v>46293</v>
      </c>
      <c r="I83" s="1"/>
      <c r="J83" s="2">
        <v>56024.08</v>
      </c>
      <c r="K83" s="2">
        <v>41453.699999999997</v>
      </c>
      <c r="L83" s="2">
        <v>65111.19</v>
      </c>
      <c r="M83">
        <v>3035</v>
      </c>
      <c r="N83">
        <v>2605</v>
      </c>
      <c r="O83" t="s">
        <v>21</v>
      </c>
      <c r="P83" s="2">
        <f>Tabela1[[#This Row],[orcamento_aprovado]]-Tabela1[[#This Row],[custo_real_acumulado]]</f>
        <v>14570.380000000005</v>
      </c>
      <c r="Q83" t="str">
        <f>IF(Tabela1[[#This Row],[data_fim_real]]="","",Tabela1[[#This Row],[data_fim_real]]-Tabela1[[#This Row],[data_inicio_real]])</f>
        <v/>
      </c>
    </row>
    <row r="84" spans="1:17" ht="16.5" x14ac:dyDescent="0.5">
      <c r="A84" t="s">
        <v>263</v>
      </c>
      <c r="B84" t="s">
        <v>264</v>
      </c>
      <c r="C84" t="s">
        <v>265</v>
      </c>
      <c r="D84" t="s">
        <v>142</v>
      </c>
      <c r="E84" t="s">
        <v>19</v>
      </c>
      <c r="F84" s="1">
        <v>46265</v>
      </c>
      <c r="G84" s="1">
        <v>46310</v>
      </c>
      <c r="H84" s="1">
        <v>46273</v>
      </c>
      <c r="I84" s="1"/>
      <c r="J84" s="2">
        <v>262498.52</v>
      </c>
      <c r="K84" s="2">
        <v>207449.37</v>
      </c>
      <c r="L84" s="2">
        <v>480575.28</v>
      </c>
      <c r="M84">
        <v>601</v>
      </c>
      <c r="N84">
        <v>462</v>
      </c>
      <c r="O84" t="s">
        <v>26</v>
      </c>
      <c r="P84" s="2">
        <f>Tabela1[[#This Row],[orcamento_aprovado]]-Tabela1[[#This Row],[custo_real_acumulado]]</f>
        <v>55049.150000000023</v>
      </c>
      <c r="Q84" t="str">
        <f>IF(Tabela1[[#This Row],[data_fim_real]]="","",Tabela1[[#This Row],[data_fim_real]]-Tabela1[[#This Row],[data_inicio_real]])</f>
        <v/>
      </c>
    </row>
    <row r="85" spans="1:17" ht="16.5" x14ac:dyDescent="0.5">
      <c r="A85" t="s">
        <v>266</v>
      </c>
      <c r="B85" t="s">
        <v>267</v>
      </c>
      <c r="C85" t="s">
        <v>205</v>
      </c>
      <c r="D85" t="s">
        <v>38</v>
      </c>
      <c r="E85" t="s">
        <v>42</v>
      </c>
      <c r="F85" s="1">
        <v>46065</v>
      </c>
      <c r="G85" s="1">
        <v>46135</v>
      </c>
      <c r="H85" s="1">
        <v>46058</v>
      </c>
      <c r="I85" s="1"/>
      <c r="J85" s="2">
        <v>141310.13</v>
      </c>
      <c r="K85" s="2">
        <v>66953.06</v>
      </c>
      <c r="L85" s="2">
        <v>82221.59</v>
      </c>
      <c r="M85">
        <v>870</v>
      </c>
      <c r="N85">
        <v>419</v>
      </c>
      <c r="O85" t="s">
        <v>34</v>
      </c>
      <c r="P85" s="2">
        <f>Tabela1[[#This Row],[orcamento_aprovado]]-Tabela1[[#This Row],[custo_real_acumulado]]</f>
        <v>74357.070000000007</v>
      </c>
      <c r="Q85" t="str">
        <f>IF(Tabela1[[#This Row],[data_fim_real]]="","",Tabela1[[#This Row],[data_fim_real]]-Tabela1[[#This Row],[data_inicio_real]])</f>
        <v/>
      </c>
    </row>
    <row r="86" spans="1:17" ht="16.5" x14ac:dyDescent="0.5">
      <c r="A86" t="s">
        <v>268</v>
      </c>
      <c r="B86" t="s">
        <v>269</v>
      </c>
      <c r="C86" t="s">
        <v>270</v>
      </c>
      <c r="D86" t="s">
        <v>71</v>
      </c>
      <c r="E86" t="s">
        <v>20</v>
      </c>
      <c r="F86" s="1">
        <v>46337</v>
      </c>
      <c r="G86" s="1">
        <v>46387</v>
      </c>
      <c r="H86" s="1">
        <v>46359</v>
      </c>
      <c r="I86" s="1"/>
      <c r="J86" s="2">
        <v>117470.94</v>
      </c>
      <c r="K86" s="2">
        <v>66197.83</v>
      </c>
      <c r="L86" s="2">
        <v>246074.25</v>
      </c>
      <c r="M86">
        <v>1731</v>
      </c>
      <c r="N86">
        <v>921</v>
      </c>
      <c r="O86" t="s">
        <v>21</v>
      </c>
      <c r="P86" s="2">
        <f>Tabela1[[#This Row],[orcamento_aprovado]]-Tabela1[[#This Row],[custo_real_acumulado]]</f>
        <v>51273.11</v>
      </c>
      <c r="Q86" t="str">
        <f>IF(Tabela1[[#This Row],[data_fim_real]]="","",Tabela1[[#This Row],[data_fim_real]]-Tabela1[[#This Row],[data_inicio_real]])</f>
        <v/>
      </c>
    </row>
    <row r="87" spans="1:17" ht="16.5" x14ac:dyDescent="0.5">
      <c r="A87" t="s">
        <v>271</v>
      </c>
      <c r="B87" t="s">
        <v>272</v>
      </c>
      <c r="C87" t="s">
        <v>273</v>
      </c>
      <c r="D87" t="s">
        <v>142</v>
      </c>
      <c r="E87" t="s">
        <v>20</v>
      </c>
      <c r="F87" s="1">
        <v>46039</v>
      </c>
      <c r="G87" s="1">
        <v>46171</v>
      </c>
      <c r="H87" s="1">
        <v>46031</v>
      </c>
      <c r="I87" s="1"/>
      <c r="J87" s="2">
        <v>53991.360000000001</v>
      </c>
      <c r="K87" s="2">
        <v>41835.449999999997</v>
      </c>
      <c r="L87" s="2">
        <v>116439.44</v>
      </c>
      <c r="M87">
        <v>3920</v>
      </c>
      <c r="N87">
        <v>2262</v>
      </c>
      <c r="O87" t="s">
        <v>26</v>
      </c>
      <c r="P87" s="2">
        <f>Tabela1[[#This Row],[orcamento_aprovado]]-Tabela1[[#This Row],[custo_real_acumulado]]</f>
        <v>12155.910000000003</v>
      </c>
      <c r="Q87" t="str">
        <f>IF(Tabela1[[#This Row],[data_fim_real]]="","",Tabela1[[#This Row],[data_fim_real]]-Tabela1[[#This Row],[data_inicio_real]])</f>
        <v/>
      </c>
    </row>
    <row r="88" spans="1:17" ht="16.5" x14ac:dyDescent="0.5">
      <c r="A88" t="s">
        <v>274</v>
      </c>
      <c r="B88" t="s">
        <v>275</v>
      </c>
      <c r="C88" t="s">
        <v>276</v>
      </c>
      <c r="D88" t="s">
        <v>78</v>
      </c>
      <c r="E88" t="s">
        <v>42</v>
      </c>
      <c r="F88" s="1">
        <v>46310</v>
      </c>
      <c r="G88" s="1">
        <v>46387</v>
      </c>
      <c r="H88" s="1">
        <v>46318</v>
      </c>
      <c r="I88" s="1"/>
      <c r="J88" s="2">
        <v>164114.16</v>
      </c>
      <c r="K88" s="2">
        <v>122706.57</v>
      </c>
      <c r="L88" s="2">
        <v>86717.46</v>
      </c>
      <c r="M88">
        <v>706</v>
      </c>
      <c r="N88">
        <v>492</v>
      </c>
      <c r="O88" t="s">
        <v>34</v>
      </c>
      <c r="P88" s="2">
        <f>Tabela1[[#This Row],[orcamento_aprovado]]-Tabela1[[#This Row],[custo_real_acumulado]]</f>
        <v>41407.589999999997</v>
      </c>
      <c r="Q88" t="str">
        <f>IF(Tabela1[[#This Row],[data_fim_real]]="","",Tabela1[[#This Row],[data_fim_real]]-Tabela1[[#This Row],[data_inicio_real]])</f>
        <v/>
      </c>
    </row>
    <row r="89" spans="1:17" ht="16.5" x14ac:dyDescent="0.5">
      <c r="A89" t="s">
        <v>277</v>
      </c>
      <c r="B89" t="s">
        <v>278</v>
      </c>
      <c r="C89" t="s">
        <v>279</v>
      </c>
      <c r="D89" t="s">
        <v>54</v>
      </c>
      <c r="E89" t="s">
        <v>42</v>
      </c>
      <c r="F89" s="1">
        <v>46200</v>
      </c>
      <c r="G89" s="1">
        <v>46220</v>
      </c>
      <c r="H89" s="1">
        <v>46200</v>
      </c>
      <c r="I89" s="1">
        <v>46201</v>
      </c>
      <c r="J89" s="2">
        <v>113069.17</v>
      </c>
      <c r="K89" s="2">
        <v>5053.22</v>
      </c>
      <c r="L89" s="2">
        <v>167006.74</v>
      </c>
      <c r="M89">
        <v>423</v>
      </c>
      <c r="N89">
        <v>16</v>
      </c>
      <c r="O89" t="s">
        <v>21</v>
      </c>
      <c r="P89" s="2">
        <f>Tabela1[[#This Row],[orcamento_aprovado]]-Tabela1[[#This Row],[custo_real_acumulado]]</f>
        <v>108015.95</v>
      </c>
      <c r="Q89">
        <f>IF(Tabela1[[#This Row],[data_fim_real]]="","",Tabela1[[#This Row],[data_fim_real]]-Tabela1[[#This Row],[data_inicio_real]])</f>
        <v>1</v>
      </c>
    </row>
    <row r="90" spans="1:17" ht="16.5" x14ac:dyDescent="0.5">
      <c r="A90" t="s">
        <v>280</v>
      </c>
      <c r="B90" t="s">
        <v>281</v>
      </c>
      <c r="C90" t="s">
        <v>282</v>
      </c>
      <c r="D90" t="s">
        <v>71</v>
      </c>
      <c r="E90" t="s">
        <v>43</v>
      </c>
      <c r="F90" s="1">
        <v>46336</v>
      </c>
      <c r="G90" s="1">
        <v>46387</v>
      </c>
      <c r="H90" s="1">
        <v>46353</v>
      </c>
      <c r="I90" s="1"/>
      <c r="J90" s="2">
        <v>635962.71</v>
      </c>
      <c r="K90" s="2">
        <v>66162.89</v>
      </c>
      <c r="L90" s="2">
        <v>1058517.8600000001</v>
      </c>
      <c r="M90">
        <v>957</v>
      </c>
      <c r="N90">
        <v>101</v>
      </c>
      <c r="O90" t="s">
        <v>26</v>
      </c>
      <c r="P90" s="2">
        <f>Tabela1[[#This Row],[orcamento_aprovado]]-Tabela1[[#This Row],[custo_real_acumulado]]</f>
        <v>569799.81999999995</v>
      </c>
      <c r="Q90" t="str">
        <f>IF(Tabela1[[#This Row],[data_fim_real]]="","",Tabela1[[#This Row],[data_fim_real]]-Tabela1[[#This Row],[data_inicio_real]])</f>
        <v/>
      </c>
    </row>
    <row r="91" spans="1:17" ht="16.5" x14ac:dyDescent="0.5">
      <c r="A91" t="s">
        <v>283</v>
      </c>
      <c r="B91" t="s">
        <v>284</v>
      </c>
      <c r="C91" t="s">
        <v>285</v>
      </c>
      <c r="D91" t="s">
        <v>18</v>
      </c>
      <c r="E91" t="s">
        <v>43</v>
      </c>
      <c r="F91" s="1">
        <v>46323</v>
      </c>
      <c r="G91" s="1">
        <v>46387</v>
      </c>
      <c r="H91" s="1">
        <v>46319</v>
      </c>
      <c r="I91" s="1"/>
      <c r="J91" s="2">
        <v>50000</v>
      </c>
      <c r="K91" s="2">
        <v>22652.81</v>
      </c>
      <c r="L91" s="2">
        <v>91287.46</v>
      </c>
      <c r="M91">
        <v>917</v>
      </c>
      <c r="N91">
        <v>376</v>
      </c>
      <c r="O91" t="s">
        <v>34</v>
      </c>
      <c r="P91" s="2">
        <f>Tabela1[[#This Row],[orcamento_aprovado]]-Tabela1[[#This Row],[custo_real_acumulado]]</f>
        <v>27347.19</v>
      </c>
      <c r="Q91" t="str">
        <f>IF(Tabela1[[#This Row],[data_fim_real]]="","",Tabela1[[#This Row],[data_fim_real]]-Tabela1[[#This Row],[data_inicio_real]])</f>
        <v/>
      </c>
    </row>
    <row r="92" spans="1:17" ht="16.5" x14ac:dyDescent="0.5">
      <c r="A92" t="s">
        <v>286</v>
      </c>
      <c r="B92" t="s">
        <v>287</v>
      </c>
      <c r="C92" t="s">
        <v>288</v>
      </c>
      <c r="D92" t="s">
        <v>33</v>
      </c>
      <c r="E92" t="s">
        <v>19</v>
      </c>
      <c r="F92" s="1">
        <v>46087</v>
      </c>
      <c r="G92" s="1">
        <v>46106</v>
      </c>
      <c r="H92" s="1">
        <v>46081</v>
      </c>
      <c r="I92" s="1"/>
      <c r="J92" s="2">
        <v>432484.26</v>
      </c>
      <c r="K92" s="2">
        <v>274131.46999999997</v>
      </c>
      <c r="L92" s="2">
        <v>340568.07</v>
      </c>
      <c r="M92">
        <v>1077</v>
      </c>
      <c r="N92">
        <v>681</v>
      </c>
      <c r="O92" t="s">
        <v>21</v>
      </c>
      <c r="P92" s="2">
        <f>Tabela1[[#This Row],[orcamento_aprovado]]-Tabela1[[#This Row],[custo_real_acumulado]]</f>
        <v>158352.79000000004</v>
      </c>
      <c r="Q92" t="str">
        <f>IF(Tabela1[[#This Row],[data_fim_real]]="","",Tabela1[[#This Row],[data_fim_real]]-Tabela1[[#This Row],[data_inicio_real]])</f>
        <v/>
      </c>
    </row>
    <row r="93" spans="1:17" ht="16.5" x14ac:dyDescent="0.5">
      <c r="A93" t="s">
        <v>289</v>
      </c>
      <c r="B93" t="s">
        <v>290</v>
      </c>
      <c r="C93" t="s">
        <v>182</v>
      </c>
      <c r="D93" t="s">
        <v>142</v>
      </c>
      <c r="E93" t="s">
        <v>19</v>
      </c>
      <c r="F93" s="1">
        <v>46277</v>
      </c>
      <c r="G93" s="1">
        <v>46365</v>
      </c>
      <c r="H93" s="1">
        <v>46284</v>
      </c>
      <c r="I93" s="1"/>
      <c r="J93" s="2">
        <v>247591.57</v>
      </c>
      <c r="K93" s="2">
        <v>65909.38</v>
      </c>
      <c r="L93" s="2">
        <v>185707.06</v>
      </c>
      <c r="M93">
        <v>1923</v>
      </c>
      <c r="N93">
        <v>415</v>
      </c>
      <c r="O93" t="s">
        <v>26</v>
      </c>
      <c r="P93" s="2">
        <f>Tabela1[[#This Row],[orcamento_aprovado]]-Tabela1[[#This Row],[custo_real_acumulado]]</f>
        <v>181682.19</v>
      </c>
      <c r="Q93" t="str">
        <f>IF(Tabela1[[#This Row],[data_fim_real]]="","",Tabela1[[#This Row],[data_fim_real]]-Tabela1[[#This Row],[data_inicio_real]])</f>
        <v/>
      </c>
    </row>
    <row r="94" spans="1:17" ht="16.5" x14ac:dyDescent="0.5">
      <c r="A94" t="s">
        <v>291</v>
      </c>
      <c r="B94" t="s">
        <v>292</v>
      </c>
      <c r="C94" t="s">
        <v>293</v>
      </c>
      <c r="D94" t="s">
        <v>71</v>
      </c>
      <c r="E94" t="s">
        <v>43</v>
      </c>
      <c r="F94" s="1">
        <v>46186</v>
      </c>
      <c r="G94" s="1">
        <v>46270</v>
      </c>
      <c r="H94" s="1">
        <v>46178</v>
      </c>
      <c r="I94" s="1"/>
      <c r="J94" s="2">
        <v>163901.6</v>
      </c>
      <c r="K94" s="2">
        <v>101327.13</v>
      </c>
      <c r="L94" s="2">
        <v>56531.839999999997</v>
      </c>
      <c r="M94">
        <v>1955</v>
      </c>
      <c r="N94">
        <v>1391</v>
      </c>
      <c r="O94" t="s">
        <v>34</v>
      </c>
      <c r="P94" s="2">
        <f>Tabela1[[#This Row],[orcamento_aprovado]]-Tabela1[[#This Row],[custo_real_acumulado]]</f>
        <v>62574.47</v>
      </c>
      <c r="Q94" t="str">
        <f>IF(Tabela1[[#This Row],[data_fim_real]]="","",Tabela1[[#This Row],[data_fim_real]]-Tabela1[[#This Row],[data_inicio_real]])</f>
        <v/>
      </c>
    </row>
    <row r="95" spans="1:17" ht="16.5" x14ac:dyDescent="0.5">
      <c r="A95" t="s">
        <v>294</v>
      </c>
      <c r="B95" t="s">
        <v>295</v>
      </c>
      <c r="C95" t="s">
        <v>296</v>
      </c>
      <c r="D95" t="s">
        <v>58</v>
      </c>
      <c r="E95" t="s">
        <v>20</v>
      </c>
      <c r="F95" s="1">
        <v>46150</v>
      </c>
      <c r="G95" s="1">
        <v>46224</v>
      </c>
      <c r="H95" s="1">
        <v>46139</v>
      </c>
      <c r="I95" s="1"/>
      <c r="J95" s="2">
        <v>215584.27</v>
      </c>
      <c r="K95" s="2">
        <v>18810.84</v>
      </c>
      <c r="L95" s="2">
        <v>107319.65</v>
      </c>
      <c r="M95">
        <v>1177</v>
      </c>
      <c r="N95">
        <v>78</v>
      </c>
      <c r="O95" t="s">
        <v>21</v>
      </c>
      <c r="P95" s="2">
        <f>Tabela1[[#This Row],[orcamento_aprovado]]-Tabela1[[#This Row],[custo_real_acumulado]]</f>
        <v>196773.43</v>
      </c>
      <c r="Q95" t="str">
        <f>IF(Tabela1[[#This Row],[data_fim_real]]="","",Tabela1[[#This Row],[data_fim_real]]-Tabela1[[#This Row],[data_inicio_real]])</f>
        <v/>
      </c>
    </row>
    <row r="96" spans="1:17" ht="16.5" x14ac:dyDescent="0.5">
      <c r="A96" t="s">
        <v>297</v>
      </c>
      <c r="B96" t="s">
        <v>298</v>
      </c>
      <c r="C96" t="s">
        <v>77</v>
      </c>
      <c r="D96" t="s">
        <v>78</v>
      </c>
      <c r="E96" t="s">
        <v>20</v>
      </c>
      <c r="F96" s="1">
        <v>46321</v>
      </c>
      <c r="G96" s="1">
        <v>46360</v>
      </c>
      <c r="H96" s="1">
        <v>46324</v>
      </c>
      <c r="I96" s="1"/>
      <c r="J96" s="2">
        <v>119017.85</v>
      </c>
      <c r="K96" s="2">
        <v>42918.97</v>
      </c>
      <c r="L96" s="2">
        <v>156225.19</v>
      </c>
      <c r="M96">
        <v>627</v>
      </c>
      <c r="N96">
        <v>193</v>
      </c>
      <c r="O96" t="s">
        <v>26</v>
      </c>
      <c r="P96" s="2">
        <f>Tabela1[[#This Row],[orcamento_aprovado]]-Tabela1[[#This Row],[custo_real_acumulado]]</f>
        <v>76098.880000000005</v>
      </c>
      <c r="Q96" t="str">
        <f>IF(Tabela1[[#This Row],[data_fim_real]]="","",Tabela1[[#This Row],[data_fim_real]]-Tabela1[[#This Row],[data_inicio_real]])</f>
        <v/>
      </c>
    </row>
    <row r="97" spans="1:17" ht="16.5" x14ac:dyDescent="0.5">
      <c r="A97" t="s">
        <v>299</v>
      </c>
      <c r="B97" t="s">
        <v>300</v>
      </c>
      <c r="C97" t="s">
        <v>301</v>
      </c>
      <c r="D97" t="s">
        <v>33</v>
      </c>
      <c r="E97" t="s">
        <v>43</v>
      </c>
      <c r="F97" s="1">
        <v>46306</v>
      </c>
      <c r="G97" s="1">
        <v>46387</v>
      </c>
      <c r="H97" s="1">
        <v>46300</v>
      </c>
      <c r="I97" s="1"/>
      <c r="J97" s="2">
        <v>50000</v>
      </c>
      <c r="K97" s="2">
        <v>33479.82</v>
      </c>
      <c r="L97" s="2">
        <v>48019.29</v>
      </c>
      <c r="M97">
        <v>2478</v>
      </c>
      <c r="N97">
        <v>1346</v>
      </c>
      <c r="O97" t="s">
        <v>34</v>
      </c>
      <c r="P97" s="2">
        <f>Tabela1[[#This Row],[orcamento_aprovado]]-Tabela1[[#This Row],[custo_real_acumulado]]</f>
        <v>16520.18</v>
      </c>
      <c r="Q97" t="str">
        <f>IF(Tabela1[[#This Row],[data_fim_real]]="","",Tabela1[[#This Row],[data_fim_real]]-Tabela1[[#This Row],[data_inicio_real]])</f>
        <v/>
      </c>
    </row>
    <row r="98" spans="1:17" ht="16.5" x14ac:dyDescent="0.5">
      <c r="A98" t="s">
        <v>302</v>
      </c>
      <c r="B98" t="s">
        <v>303</v>
      </c>
      <c r="C98" t="s">
        <v>118</v>
      </c>
      <c r="D98" t="s">
        <v>50</v>
      </c>
      <c r="E98" t="s">
        <v>19</v>
      </c>
      <c r="F98" s="1">
        <v>46046</v>
      </c>
      <c r="G98" s="1">
        <v>46163</v>
      </c>
      <c r="H98" s="1">
        <v>46044</v>
      </c>
      <c r="I98" s="1"/>
      <c r="J98" s="2">
        <v>147707.44</v>
      </c>
      <c r="K98" s="2">
        <v>98781.38</v>
      </c>
      <c r="L98" s="2">
        <v>129383.43</v>
      </c>
      <c r="M98">
        <v>2013</v>
      </c>
      <c r="N98">
        <v>1195</v>
      </c>
      <c r="O98" t="s">
        <v>21</v>
      </c>
      <c r="P98" s="2">
        <f>Tabela1[[#This Row],[orcamento_aprovado]]-Tabela1[[#This Row],[custo_real_acumulado]]</f>
        <v>48926.06</v>
      </c>
      <c r="Q98" t="str">
        <f>IF(Tabela1[[#This Row],[data_fim_real]]="","",Tabela1[[#This Row],[data_fim_real]]-Tabela1[[#This Row],[data_inicio_real]])</f>
        <v/>
      </c>
    </row>
    <row r="99" spans="1:17" ht="16.5" x14ac:dyDescent="0.5">
      <c r="A99" t="s">
        <v>304</v>
      </c>
      <c r="B99" t="s">
        <v>305</v>
      </c>
      <c r="C99" t="s">
        <v>306</v>
      </c>
      <c r="D99" t="s">
        <v>25</v>
      </c>
      <c r="E99" t="s">
        <v>43</v>
      </c>
      <c r="F99" s="1">
        <v>46311</v>
      </c>
      <c r="G99" s="1">
        <v>46325</v>
      </c>
      <c r="H99" s="1">
        <v>46313</v>
      </c>
      <c r="I99" s="1"/>
      <c r="J99" s="2">
        <v>105394.26</v>
      </c>
      <c r="K99" s="2">
        <v>73941.929999999993</v>
      </c>
      <c r="L99" s="2">
        <v>205445.84</v>
      </c>
      <c r="M99">
        <v>304</v>
      </c>
      <c r="N99">
        <v>225</v>
      </c>
      <c r="O99" t="s">
        <v>26</v>
      </c>
      <c r="P99" s="2">
        <f>Tabela1[[#This Row],[orcamento_aprovado]]-Tabela1[[#This Row],[custo_real_acumulado]]</f>
        <v>31452.33</v>
      </c>
      <c r="Q99" t="str">
        <f>IF(Tabela1[[#This Row],[data_fim_real]]="","",Tabela1[[#This Row],[data_fim_real]]-Tabela1[[#This Row],[data_inicio_real]])</f>
        <v/>
      </c>
    </row>
    <row r="100" spans="1:17" ht="16.5" x14ac:dyDescent="0.5">
      <c r="A100" t="s">
        <v>307</v>
      </c>
      <c r="B100" t="s">
        <v>308</v>
      </c>
      <c r="C100" t="s">
        <v>309</v>
      </c>
      <c r="D100" t="s">
        <v>25</v>
      </c>
      <c r="E100" t="s">
        <v>19</v>
      </c>
      <c r="F100" s="1">
        <v>46340</v>
      </c>
      <c r="G100" s="1">
        <v>46387</v>
      </c>
      <c r="H100" s="1">
        <v>46340</v>
      </c>
      <c r="I100" s="1"/>
      <c r="J100" s="2">
        <v>709206.56</v>
      </c>
      <c r="K100" s="2">
        <v>483675.41</v>
      </c>
      <c r="L100" s="2">
        <v>889965.97</v>
      </c>
      <c r="M100">
        <v>1606</v>
      </c>
      <c r="N100">
        <v>876</v>
      </c>
      <c r="O100" t="s">
        <v>34</v>
      </c>
      <c r="P100" s="2">
        <f>Tabela1[[#This Row],[orcamento_aprovado]]-Tabela1[[#This Row],[custo_real_acumulado]]</f>
        <v>225531.15000000008</v>
      </c>
      <c r="Q100" t="str">
        <f>IF(Tabela1[[#This Row],[data_fim_real]]="","",Tabela1[[#This Row],[data_fim_real]]-Tabela1[[#This Row],[data_inicio_real]])</f>
        <v/>
      </c>
    </row>
    <row r="101" spans="1:17" ht="16.5" x14ac:dyDescent="0.5">
      <c r="A101" t="s">
        <v>310</v>
      </c>
      <c r="B101" t="s">
        <v>311</v>
      </c>
      <c r="C101" t="s">
        <v>312</v>
      </c>
      <c r="D101" t="s">
        <v>38</v>
      </c>
      <c r="E101" t="s">
        <v>43</v>
      </c>
      <c r="F101" s="1">
        <v>46054</v>
      </c>
      <c r="G101" s="1">
        <v>46130</v>
      </c>
      <c r="H101" s="1">
        <v>46034</v>
      </c>
      <c r="I101" s="1">
        <v>46122</v>
      </c>
      <c r="J101" s="2">
        <v>123826.85</v>
      </c>
      <c r="K101" s="2">
        <v>115953.35</v>
      </c>
      <c r="L101" s="2">
        <v>182919.14</v>
      </c>
      <c r="M101">
        <v>1088</v>
      </c>
      <c r="N101">
        <v>1002</v>
      </c>
      <c r="O101" t="s">
        <v>21</v>
      </c>
      <c r="P101" s="2">
        <f>Tabela1[[#This Row],[orcamento_aprovado]]-Tabela1[[#This Row],[custo_real_acumulado]]</f>
        <v>7873.5</v>
      </c>
      <c r="Q101">
        <f>IF(Tabela1[[#This Row],[data_fim_real]]="","",Tabela1[[#This Row],[data_fim_real]]-Tabela1[[#This Row],[data_inicio_real]])</f>
        <v>88</v>
      </c>
    </row>
    <row r="102" spans="1:17" ht="16.5" x14ac:dyDescent="0.5">
      <c r="A102" t="s">
        <v>313</v>
      </c>
      <c r="B102" t="s">
        <v>314</v>
      </c>
      <c r="C102" t="s">
        <v>315</v>
      </c>
      <c r="D102" t="s">
        <v>50</v>
      </c>
      <c r="E102" t="s">
        <v>19</v>
      </c>
      <c r="F102" s="1">
        <v>46335</v>
      </c>
      <c r="G102" s="1">
        <v>46387</v>
      </c>
      <c r="H102" s="1">
        <v>46341</v>
      </c>
      <c r="I102" s="1"/>
      <c r="J102" s="2">
        <v>99962.4</v>
      </c>
      <c r="K102" s="2">
        <v>58665.83</v>
      </c>
      <c r="L102" s="2">
        <v>146836.46</v>
      </c>
      <c r="M102">
        <v>1123</v>
      </c>
      <c r="N102">
        <v>500</v>
      </c>
      <c r="O102" t="s">
        <v>26</v>
      </c>
      <c r="P102" s="2">
        <f>Tabela1[[#This Row],[orcamento_aprovado]]-Tabela1[[#This Row],[custo_real_acumulado]]</f>
        <v>41296.569999999992</v>
      </c>
      <c r="Q102" t="str">
        <f>IF(Tabela1[[#This Row],[data_fim_real]]="","",Tabela1[[#This Row],[data_fim_real]]-Tabela1[[#This Row],[data_inicio_real]])</f>
        <v/>
      </c>
    </row>
    <row r="103" spans="1:17" ht="16.5" x14ac:dyDescent="0.5">
      <c r="A103" t="s">
        <v>316</v>
      </c>
      <c r="B103" t="s">
        <v>317</v>
      </c>
      <c r="C103" t="s">
        <v>318</v>
      </c>
      <c r="D103" t="s">
        <v>50</v>
      </c>
      <c r="E103" t="s">
        <v>43</v>
      </c>
      <c r="F103" s="1">
        <v>46097</v>
      </c>
      <c r="G103" s="1">
        <v>46206</v>
      </c>
      <c r="H103" s="1">
        <v>46112</v>
      </c>
      <c r="I103" s="1"/>
      <c r="J103" s="2">
        <v>199369.43</v>
      </c>
      <c r="K103" s="2">
        <v>71544.37</v>
      </c>
      <c r="L103" s="2">
        <v>242144.92</v>
      </c>
      <c r="M103">
        <v>2400</v>
      </c>
      <c r="N103">
        <v>811</v>
      </c>
      <c r="O103" t="s">
        <v>34</v>
      </c>
      <c r="P103" s="2">
        <f>Tabela1[[#This Row],[orcamento_aprovado]]-Tabela1[[#This Row],[custo_real_acumulado]]</f>
        <v>127825.06</v>
      </c>
      <c r="Q103" t="str">
        <f>IF(Tabela1[[#This Row],[data_fim_real]]="","",Tabela1[[#This Row],[data_fim_real]]-Tabela1[[#This Row],[data_inicio_real]])</f>
        <v/>
      </c>
    </row>
    <row r="104" spans="1:17" ht="16.5" x14ac:dyDescent="0.5">
      <c r="A104" t="s">
        <v>319</v>
      </c>
      <c r="B104" t="s">
        <v>320</v>
      </c>
      <c r="C104" t="s">
        <v>321</v>
      </c>
      <c r="D104" t="s">
        <v>54</v>
      </c>
      <c r="E104" t="s">
        <v>43</v>
      </c>
      <c r="F104" s="1">
        <v>46138</v>
      </c>
      <c r="G104" s="1">
        <v>46173</v>
      </c>
      <c r="H104" s="1">
        <v>46132</v>
      </c>
      <c r="I104" s="1"/>
      <c r="J104" s="2">
        <v>50000</v>
      </c>
      <c r="K104" s="2">
        <v>32069.06</v>
      </c>
      <c r="L104" s="2">
        <v>61382.91</v>
      </c>
      <c r="M104">
        <v>258</v>
      </c>
      <c r="N104">
        <v>137</v>
      </c>
      <c r="O104" t="s">
        <v>21</v>
      </c>
      <c r="P104" s="2">
        <f>Tabela1[[#This Row],[orcamento_aprovado]]-Tabela1[[#This Row],[custo_real_acumulado]]</f>
        <v>17930.939999999999</v>
      </c>
      <c r="Q104" t="str">
        <f>IF(Tabela1[[#This Row],[data_fim_real]]="","",Tabela1[[#This Row],[data_fim_real]]-Tabela1[[#This Row],[data_inicio_real]])</f>
        <v/>
      </c>
    </row>
    <row r="105" spans="1:17" ht="16.5" x14ac:dyDescent="0.5">
      <c r="A105" t="s">
        <v>322</v>
      </c>
      <c r="B105" t="s">
        <v>323</v>
      </c>
      <c r="C105" t="s">
        <v>324</v>
      </c>
      <c r="D105" t="s">
        <v>58</v>
      </c>
      <c r="E105" t="s">
        <v>43</v>
      </c>
      <c r="F105" s="1">
        <v>46316</v>
      </c>
      <c r="G105" s="1">
        <v>46375</v>
      </c>
      <c r="H105" s="1">
        <v>46321</v>
      </c>
      <c r="I105" s="1">
        <v>46387</v>
      </c>
      <c r="J105" s="2">
        <v>246190.56</v>
      </c>
      <c r="K105" s="2">
        <v>252355.48</v>
      </c>
      <c r="L105" s="2">
        <v>192982.42</v>
      </c>
      <c r="M105">
        <v>3365</v>
      </c>
      <c r="N105">
        <v>3549</v>
      </c>
      <c r="O105" t="s">
        <v>26</v>
      </c>
      <c r="P105" s="2">
        <f>Tabela1[[#This Row],[orcamento_aprovado]]-Tabela1[[#This Row],[custo_real_acumulado]]</f>
        <v>-6164.9200000000128</v>
      </c>
      <c r="Q105">
        <f>IF(Tabela1[[#This Row],[data_fim_real]]="","",Tabela1[[#This Row],[data_fim_real]]-Tabela1[[#This Row],[data_inicio_real]])</f>
        <v>66</v>
      </c>
    </row>
    <row r="106" spans="1:17" ht="16.5" x14ac:dyDescent="0.5">
      <c r="A106" t="s">
        <v>325</v>
      </c>
      <c r="B106" t="s">
        <v>326</v>
      </c>
      <c r="C106" t="s">
        <v>327</v>
      </c>
      <c r="D106" t="s">
        <v>142</v>
      </c>
      <c r="E106" t="s">
        <v>43</v>
      </c>
      <c r="F106" s="1">
        <v>46351</v>
      </c>
      <c r="G106" s="1">
        <v>46387</v>
      </c>
      <c r="H106" s="1">
        <v>46348</v>
      </c>
      <c r="I106" s="1">
        <v>46349</v>
      </c>
      <c r="J106" s="2">
        <v>103792.43</v>
      </c>
      <c r="K106" s="2">
        <v>39217.06</v>
      </c>
      <c r="L106" s="2">
        <v>132150.76999999999</v>
      </c>
      <c r="M106">
        <v>782</v>
      </c>
      <c r="N106">
        <v>208</v>
      </c>
      <c r="O106" t="s">
        <v>34</v>
      </c>
      <c r="P106" s="2">
        <f>Tabela1[[#This Row],[orcamento_aprovado]]-Tabela1[[#This Row],[custo_real_acumulado]]</f>
        <v>64575.369999999995</v>
      </c>
      <c r="Q106">
        <f>IF(Tabela1[[#This Row],[data_fim_real]]="","",Tabela1[[#This Row],[data_fim_real]]-Tabela1[[#This Row],[data_inicio_real]])</f>
        <v>1</v>
      </c>
    </row>
    <row r="107" spans="1:17" ht="16.5" x14ac:dyDescent="0.5">
      <c r="A107" t="s">
        <v>328</v>
      </c>
      <c r="B107" t="s">
        <v>329</v>
      </c>
      <c r="C107" t="s">
        <v>115</v>
      </c>
      <c r="D107" t="s">
        <v>25</v>
      </c>
      <c r="E107" t="s">
        <v>20</v>
      </c>
      <c r="F107" s="1">
        <v>46190</v>
      </c>
      <c r="G107" s="1">
        <v>46217</v>
      </c>
      <c r="H107" s="1">
        <v>46184</v>
      </c>
      <c r="I107" s="1">
        <v>46242</v>
      </c>
      <c r="J107" s="2">
        <v>58365.75</v>
      </c>
      <c r="K107" s="2">
        <v>65051.44</v>
      </c>
      <c r="L107" s="2">
        <v>38046.97</v>
      </c>
      <c r="M107">
        <v>1083</v>
      </c>
      <c r="N107">
        <v>956</v>
      </c>
      <c r="O107" t="s">
        <v>21</v>
      </c>
      <c r="P107" s="2">
        <f>Tabela1[[#This Row],[orcamento_aprovado]]-Tabela1[[#This Row],[custo_real_acumulado]]</f>
        <v>-6685.6900000000023</v>
      </c>
      <c r="Q107">
        <f>IF(Tabela1[[#This Row],[data_fim_real]]="","",Tabela1[[#This Row],[data_fim_real]]-Tabela1[[#This Row],[data_inicio_real]])</f>
        <v>58</v>
      </c>
    </row>
    <row r="108" spans="1:17" ht="16.5" x14ac:dyDescent="0.5">
      <c r="A108" t="s">
        <v>330</v>
      </c>
      <c r="B108" t="s">
        <v>331</v>
      </c>
      <c r="C108" t="s">
        <v>249</v>
      </c>
      <c r="D108" t="s">
        <v>33</v>
      </c>
      <c r="E108" t="s">
        <v>43</v>
      </c>
      <c r="F108" s="1">
        <v>46143</v>
      </c>
      <c r="G108" s="1">
        <v>46227</v>
      </c>
      <c r="H108" s="1">
        <v>46137</v>
      </c>
      <c r="I108" s="1"/>
      <c r="J108" s="2">
        <v>262945.40000000002</v>
      </c>
      <c r="K108" s="2">
        <v>198288.65</v>
      </c>
      <c r="L108" s="2">
        <v>562736.99</v>
      </c>
      <c r="M108">
        <v>3379</v>
      </c>
      <c r="N108">
        <v>2042</v>
      </c>
      <c r="O108" t="s">
        <v>26</v>
      </c>
      <c r="P108" s="2">
        <f>Tabela1[[#This Row],[orcamento_aprovado]]-Tabela1[[#This Row],[custo_real_acumulado]]</f>
        <v>64656.750000000029</v>
      </c>
      <c r="Q108" t="str">
        <f>IF(Tabela1[[#This Row],[data_fim_real]]="","",Tabela1[[#This Row],[data_fim_real]]-Tabela1[[#This Row],[data_inicio_real]])</f>
        <v/>
      </c>
    </row>
    <row r="109" spans="1:17" ht="16.5" x14ac:dyDescent="0.5">
      <c r="A109" t="s">
        <v>332</v>
      </c>
      <c r="B109" t="s">
        <v>333</v>
      </c>
      <c r="C109" t="s">
        <v>334</v>
      </c>
      <c r="D109" t="s">
        <v>58</v>
      </c>
      <c r="E109" t="s">
        <v>43</v>
      </c>
      <c r="F109" s="1">
        <v>46304</v>
      </c>
      <c r="G109" s="1">
        <v>46387</v>
      </c>
      <c r="H109" s="1">
        <v>46304</v>
      </c>
      <c r="I109" s="1">
        <v>46313</v>
      </c>
      <c r="J109" s="2">
        <v>50000</v>
      </c>
      <c r="K109" s="2">
        <v>9856.58</v>
      </c>
      <c r="L109" s="2">
        <v>104592.2</v>
      </c>
      <c r="M109">
        <v>2230</v>
      </c>
      <c r="N109">
        <v>452</v>
      </c>
      <c r="O109" t="s">
        <v>34</v>
      </c>
      <c r="P109" s="2">
        <f>Tabela1[[#This Row],[orcamento_aprovado]]-Tabela1[[#This Row],[custo_real_acumulado]]</f>
        <v>40143.42</v>
      </c>
      <c r="Q109">
        <f>IF(Tabela1[[#This Row],[data_fim_real]]="","",Tabela1[[#This Row],[data_fim_real]]-Tabela1[[#This Row],[data_inicio_real]])</f>
        <v>9</v>
      </c>
    </row>
    <row r="110" spans="1:17" ht="16.5" x14ac:dyDescent="0.5">
      <c r="A110" t="s">
        <v>335</v>
      </c>
      <c r="B110" t="s">
        <v>336</v>
      </c>
      <c r="C110" t="s">
        <v>337</v>
      </c>
      <c r="D110" t="s">
        <v>142</v>
      </c>
      <c r="E110" t="s">
        <v>43</v>
      </c>
      <c r="F110" s="1">
        <v>46082</v>
      </c>
      <c r="G110" s="1">
        <v>46185</v>
      </c>
      <c r="H110" s="1">
        <v>46083</v>
      </c>
      <c r="I110" s="1"/>
      <c r="J110" s="2">
        <v>80906.31</v>
      </c>
      <c r="K110" s="2">
        <v>59532.13</v>
      </c>
      <c r="L110" s="2">
        <v>143628.94</v>
      </c>
      <c r="M110">
        <v>3373</v>
      </c>
      <c r="N110">
        <v>2357</v>
      </c>
      <c r="O110" t="s">
        <v>21</v>
      </c>
      <c r="P110" s="2">
        <f>Tabela1[[#This Row],[orcamento_aprovado]]-Tabela1[[#This Row],[custo_real_acumulado]]</f>
        <v>21374.18</v>
      </c>
      <c r="Q110" t="str">
        <f>IF(Tabela1[[#This Row],[data_fim_real]]="","",Tabela1[[#This Row],[data_fim_real]]-Tabela1[[#This Row],[data_inicio_real]])</f>
        <v/>
      </c>
    </row>
    <row r="111" spans="1:17" ht="16.5" x14ac:dyDescent="0.5">
      <c r="A111" t="s">
        <v>338</v>
      </c>
      <c r="B111" t="s">
        <v>339</v>
      </c>
      <c r="C111" t="s">
        <v>340</v>
      </c>
      <c r="D111" t="s">
        <v>142</v>
      </c>
      <c r="E111" t="s">
        <v>19</v>
      </c>
      <c r="F111" s="1">
        <v>46134</v>
      </c>
      <c r="G111" s="1">
        <v>46205</v>
      </c>
      <c r="H111" s="1"/>
      <c r="I111" s="1"/>
      <c r="J111" s="2">
        <v>101152.35</v>
      </c>
      <c r="K111" s="2">
        <v>0</v>
      </c>
      <c r="L111" s="2">
        <v>171182.44</v>
      </c>
      <c r="M111">
        <v>4362</v>
      </c>
      <c r="N111">
        <v>0</v>
      </c>
      <c r="O111" t="s">
        <v>26</v>
      </c>
      <c r="P111" s="2">
        <f>Tabela1[[#This Row],[orcamento_aprovado]]-Tabela1[[#This Row],[custo_real_acumulado]]</f>
        <v>101152.35</v>
      </c>
      <c r="Q111" t="str">
        <f>IF(Tabela1[[#This Row],[data_fim_real]]="","",Tabela1[[#This Row],[data_fim_real]]-Tabela1[[#This Row],[data_inicio_real]])</f>
        <v/>
      </c>
    </row>
    <row r="112" spans="1:17" ht="16.5" x14ac:dyDescent="0.5">
      <c r="A112" t="s">
        <v>341</v>
      </c>
      <c r="B112" t="s">
        <v>342</v>
      </c>
      <c r="C112" t="s">
        <v>100</v>
      </c>
      <c r="D112" t="s">
        <v>38</v>
      </c>
      <c r="E112" t="s">
        <v>42</v>
      </c>
      <c r="F112" s="1">
        <v>46064</v>
      </c>
      <c r="G112" s="1">
        <v>46160</v>
      </c>
      <c r="H112" s="1">
        <v>46079</v>
      </c>
      <c r="I112" s="1">
        <v>46195</v>
      </c>
      <c r="J112" s="2">
        <v>88365.35</v>
      </c>
      <c r="K112" s="2">
        <v>75440.38</v>
      </c>
      <c r="L112" s="2">
        <v>67925.55</v>
      </c>
      <c r="M112">
        <v>3609</v>
      </c>
      <c r="N112">
        <v>3776</v>
      </c>
      <c r="O112" t="s">
        <v>34</v>
      </c>
      <c r="P112" s="2">
        <f>Tabela1[[#This Row],[orcamento_aprovado]]-Tabela1[[#This Row],[custo_real_acumulado]]</f>
        <v>12924.970000000001</v>
      </c>
      <c r="Q112">
        <f>IF(Tabela1[[#This Row],[data_fim_real]]="","",Tabela1[[#This Row],[data_fim_real]]-Tabela1[[#This Row],[data_inicio_real]])</f>
        <v>116</v>
      </c>
    </row>
    <row r="113" spans="1:17" ht="16.5" x14ac:dyDescent="0.5">
      <c r="A113" t="s">
        <v>343</v>
      </c>
      <c r="B113" t="s">
        <v>344</v>
      </c>
      <c r="C113" t="s">
        <v>100</v>
      </c>
      <c r="D113" t="s">
        <v>78</v>
      </c>
      <c r="E113" t="s">
        <v>19</v>
      </c>
      <c r="F113" s="1">
        <v>46258</v>
      </c>
      <c r="G113" s="1">
        <v>46283</v>
      </c>
      <c r="H113" s="1">
        <v>46256</v>
      </c>
      <c r="I113" s="1"/>
      <c r="J113" s="2">
        <v>123301.33</v>
      </c>
      <c r="K113" s="2">
        <v>23114.09</v>
      </c>
      <c r="L113" s="2">
        <v>45262.879999999997</v>
      </c>
      <c r="M113">
        <v>1235</v>
      </c>
      <c r="N113">
        <v>257</v>
      </c>
      <c r="O113" t="s">
        <v>21</v>
      </c>
      <c r="P113" s="2">
        <f>Tabela1[[#This Row],[orcamento_aprovado]]-Tabela1[[#This Row],[custo_real_acumulado]]</f>
        <v>100187.24</v>
      </c>
      <c r="Q113" t="str">
        <f>IF(Tabela1[[#This Row],[data_fim_real]]="","",Tabela1[[#This Row],[data_fim_real]]-Tabela1[[#This Row],[data_inicio_real]])</f>
        <v/>
      </c>
    </row>
    <row r="114" spans="1:17" ht="16.5" x14ac:dyDescent="0.5">
      <c r="A114" t="s">
        <v>345</v>
      </c>
      <c r="B114" t="s">
        <v>346</v>
      </c>
      <c r="C114" t="s">
        <v>347</v>
      </c>
      <c r="D114" t="s">
        <v>25</v>
      </c>
      <c r="E114" t="s">
        <v>43</v>
      </c>
      <c r="F114" s="1">
        <v>46045</v>
      </c>
      <c r="G114" s="1">
        <v>46106</v>
      </c>
      <c r="H114" s="1">
        <v>46065</v>
      </c>
      <c r="I114" s="1">
        <v>46125</v>
      </c>
      <c r="J114" s="2">
        <v>118154.43</v>
      </c>
      <c r="K114" s="2">
        <v>118935.46</v>
      </c>
      <c r="L114" s="2">
        <v>128077.22</v>
      </c>
      <c r="M114">
        <v>1350</v>
      </c>
      <c r="N114">
        <v>1115</v>
      </c>
      <c r="O114" t="s">
        <v>26</v>
      </c>
      <c r="P114" s="2">
        <f>Tabela1[[#This Row],[orcamento_aprovado]]-Tabela1[[#This Row],[custo_real_acumulado]]</f>
        <v>-781.03000000001339</v>
      </c>
      <c r="Q114">
        <f>IF(Tabela1[[#This Row],[data_fim_real]]="","",Tabela1[[#This Row],[data_fim_real]]-Tabela1[[#This Row],[data_inicio_real]])</f>
        <v>60</v>
      </c>
    </row>
    <row r="115" spans="1:17" ht="16.5" x14ac:dyDescent="0.5">
      <c r="A115" t="s">
        <v>348</v>
      </c>
      <c r="B115" t="s">
        <v>349</v>
      </c>
      <c r="C115" t="s">
        <v>86</v>
      </c>
      <c r="D115" t="s">
        <v>78</v>
      </c>
      <c r="E115" t="s">
        <v>42</v>
      </c>
      <c r="F115" s="1">
        <v>46308</v>
      </c>
      <c r="G115" s="1">
        <v>46387</v>
      </c>
      <c r="H115" s="1">
        <v>46326</v>
      </c>
      <c r="I115" s="1"/>
      <c r="J115" s="2">
        <v>513601.45</v>
      </c>
      <c r="K115" s="2">
        <v>546758.43999999994</v>
      </c>
      <c r="L115" s="2">
        <v>417383.03</v>
      </c>
      <c r="M115">
        <v>3201</v>
      </c>
      <c r="N115">
        <v>2968</v>
      </c>
      <c r="O115" t="s">
        <v>34</v>
      </c>
      <c r="P115" s="2">
        <f>Tabela1[[#This Row],[orcamento_aprovado]]-Tabela1[[#This Row],[custo_real_acumulado]]</f>
        <v>-33156.989999999932</v>
      </c>
      <c r="Q115" t="str">
        <f>IF(Tabela1[[#This Row],[data_fim_real]]="","",Tabela1[[#This Row],[data_fim_real]]-Tabela1[[#This Row],[data_inicio_real]])</f>
        <v/>
      </c>
    </row>
    <row r="116" spans="1:17" ht="16.5" x14ac:dyDescent="0.5">
      <c r="A116" t="s">
        <v>350</v>
      </c>
      <c r="B116" t="s">
        <v>351</v>
      </c>
      <c r="C116" t="s">
        <v>352</v>
      </c>
      <c r="D116" t="s">
        <v>38</v>
      </c>
      <c r="E116" t="s">
        <v>19</v>
      </c>
      <c r="F116" s="1">
        <v>46096</v>
      </c>
      <c r="G116" s="1">
        <v>46194</v>
      </c>
      <c r="H116" s="1">
        <v>46095</v>
      </c>
      <c r="I116" s="1">
        <v>46182</v>
      </c>
      <c r="J116" s="2">
        <v>50281.45</v>
      </c>
      <c r="K116" s="2">
        <v>47176.31</v>
      </c>
      <c r="L116" s="2">
        <v>72235.740000000005</v>
      </c>
      <c r="M116">
        <v>2193</v>
      </c>
      <c r="N116">
        <v>2491</v>
      </c>
      <c r="O116" t="s">
        <v>21</v>
      </c>
      <c r="P116" s="2">
        <f>Tabela1[[#This Row],[orcamento_aprovado]]-Tabela1[[#This Row],[custo_real_acumulado]]</f>
        <v>3105.1399999999994</v>
      </c>
      <c r="Q116">
        <f>IF(Tabela1[[#This Row],[data_fim_real]]="","",Tabela1[[#This Row],[data_fim_real]]-Tabela1[[#This Row],[data_inicio_real]])</f>
        <v>87</v>
      </c>
    </row>
    <row r="117" spans="1:17" ht="16.5" x14ac:dyDescent="0.5">
      <c r="A117" t="s">
        <v>353</v>
      </c>
      <c r="B117" t="s">
        <v>354</v>
      </c>
      <c r="C117" t="s">
        <v>355</v>
      </c>
      <c r="D117" t="s">
        <v>33</v>
      </c>
      <c r="E117" t="s">
        <v>43</v>
      </c>
      <c r="F117" s="1">
        <v>46332</v>
      </c>
      <c r="G117" s="1">
        <v>46387</v>
      </c>
      <c r="H117" s="1"/>
      <c r="I117" s="1"/>
      <c r="J117" s="2">
        <v>257535.56</v>
      </c>
      <c r="K117" s="2">
        <v>0</v>
      </c>
      <c r="L117" s="2">
        <v>167528.14000000001</v>
      </c>
      <c r="M117">
        <v>1442</v>
      </c>
      <c r="N117">
        <v>0</v>
      </c>
      <c r="O117" t="s">
        <v>26</v>
      </c>
      <c r="P117" s="2">
        <f>Tabela1[[#This Row],[orcamento_aprovado]]-Tabela1[[#This Row],[custo_real_acumulado]]</f>
        <v>257535.56</v>
      </c>
      <c r="Q117" t="str">
        <f>IF(Tabela1[[#This Row],[data_fim_real]]="","",Tabela1[[#This Row],[data_fim_real]]-Tabela1[[#This Row],[data_inicio_real]])</f>
        <v/>
      </c>
    </row>
    <row r="118" spans="1:17" ht="16.5" x14ac:dyDescent="0.5">
      <c r="A118" t="s">
        <v>356</v>
      </c>
      <c r="B118" t="s">
        <v>357</v>
      </c>
      <c r="C118" t="s">
        <v>358</v>
      </c>
      <c r="D118" t="s">
        <v>142</v>
      </c>
      <c r="E118" t="s">
        <v>42</v>
      </c>
      <c r="F118" s="1">
        <v>46379</v>
      </c>
      <c r="G118" s="1">
        <v>46387</v>
      </c>
      <c r="H118" s="1">
        <v>46387</v>
      </c>
      <c r="I118" s="1"/>
      <c r="J118" s="2">
        <v>73492.289999999994</v>
      </c>
      <c r="K118" s="2">
        <v>43031.839999999997</v>
      </c>
      <c r="L118" s="2">
        <v>89487.21</v>
      </c>
      <c r="M118">
        <v>131</v>
      </c>
      <c r="N118">
        <v>72</v>
      </c>
      <c r="O118" t="s">
        <v>34</v>
      </c>
      <c r="P118" s="2">
        <f>Tabela1[[#This Row],[orcamento_aprovado]]-Tabela1[[#This Row],[custo_real_acumulado]]</f>
        <v>30460.449999999997</v>
      </c>
      <c r="Q118" t="str">
        <f>IF(Tabela1[[#This Row],[data_fim_real]]="","",Tabela1[[#This Row],[data_fim_real]]-Tabela1[[#This Row],[data_inicio_real]])</f>
        <v/>
      </c>
    </row>
    <row r="119" spans="1:17" ht="16.5" x14ac:dyDescent="0.5">
      <c r="A119" t="s">
        <v>359</v>
      </c>
      <c r="B119" t="s">
        <v>360</v>
      </c>
      <c r="C119" t="s">
        <v>361</v>
      </c>
      <c r="D119" t="s">
        <v>78</v>
      </c>
      <c r="E119" t="s">
        <v>43</v>
      </c>
      <c r="F119" s="1">
        <v>46186</v>
      </c>
      <c r="G119" s="1">
        <v>46255</v>
      </c>
      <c r="H119" s="1"/>
      <c r="I119" s="1"/>
      <c r="J119" s="2">
        <v>131114.04</v>
      </c>
      <c r="K119" s="2">
        <v>0</v>
      </c>
      <c r="L119" s="2">
        <v>226514.28</v>
      </c>
      <c r="M119">
        <v>1440</v>
      </c>
      <c r="N119">
        <v>0</v>
      </c>
      <c r="O119" t="s">
        <v>21</v>
      </c>
      <c r="P119" s="2">
        <f>Tabela1[[#This Row],[orcamento_aprovado]]-Tabela1[[#This Row],[custo_real_acumulado]]</f>
        <v>131114.04</v>
      </c>
      <c r="Q119" t="str">
        <f>IF(Tabela1[[#This Row],[data_fim_real]]="","",Tabela1[[#This Row],[data_fim_real]]-Tabela1[[#This Row],[data_inicio_real]])</f>
        <v/>
      </c>
    </row>
    <row r="120" spans="1:17" ht="16.5" x14ac:dyDescent="0.5">
      <c r="A120" t="s">
        <v>362</v>
      </c>
      <c r="B120" t="s">
        <v>363</v>
      </c>
      <c r="C120" t="s">
        <v>364</v>
      </c>
      <c r="D120" t="s">
        <v>38</v>
      </c>
      <c r="E120" t="s">
        <v>20</v>
      </c>
      <c r="F120" s="1">
        <v>46304</v>
      </c>
      <c r="G120" s="1">
        <v>46350</v>
      </c>
      <c r="H120" s="1">
        <v>46299</v>
      </c>
      <c r="I120" s="1"/>
      <c r="J120" s="2">
        <v>77414.960000000006</v>
      </c>
      <c r="K120" s="2">
        <v>27854.84</v>
      </c>
      <c r="L120" s="2">
        <v>94940.57</v>
      </c>
      <c r="M120">
        <v>478</v>
      </c>
      <c r="N120">
        <v>120</v>
      </c>
      <c r="O120" t="s">
        <v>26</v>
      </c>
      <c r="P120" s="2">
        <f>Tabela1[[#This Row],[orcamento_aprovado]]-Tabela1[[#This Row],[custo_real_acumulado]]</f>
        <v>49560.12000000001</v>
      </c>
      <c r="Q120" t="str">
        <f>IF(Tabela1[[#This Row],[data_fim_real]]="","",Tabela1[[#This Row],[data_fim_real]]-Tabela1[[#This Row],[data_inicio_real]])</f>
        <v/>
      </c>
    </row>
    <row r="121" spans="1:17" ht="16.5" x14ac:dyDescent="0.5">
      <c r="A121" t="s">
        <v>365</v>
      </c>
      <c r="B121" t="s">
        <v>366</v>
      </c>
      <c r="C121" t="s">
        <v>270</v>
      </c>
      <c r="D121" t="s">
        <v>71</v>
      </c>
      <c r="E121" t="s">
        <v>42</v>
      </c>
      <c r="F121" s="1">
        <v>46040</v>
      </c>
      <c r="G121" s="1">
        <v>46079</v>
      </c>
      <c r="H121" s="1">
        <v>46045</v>
      </c>
      <c r="I121" s="1"/>
      <c r="J121" s="2">
        <v>173152.03</v>
      </c>
      <c r="K121" s="2">
        <v>91987.18</v>
      </c>
      <c r="L121" s="2">
        <v>137534.62</v>
      </c>
      <c r="M121">
        <v>969</v>
      </c>
      <c r="N121">
        <v>500</v>
      </c>
      <c r="O121" t="s">
        <v>34</v>
      </c>
      <c r="P121" s="2">
        <f>Tabela1[[#This Row],[orcamento_aprovado]]-Tabela1[[#This Row],[custo_real_acumulado]]</f>
        <v>81164.850000000006</v>
      </c>
      <c r="Q121" t="str">
        <f>IF(Tabela1[[#This Row],[data_fim_real]]="","",Tabela1[[#This Row],[data_fim_real]]-Tabela1[[#This Row],[data_inicio_real]])</f>
        <v/>
      </c>
    </row>
    <row r="122" spans="1:17" ht="16.5" x14ac:dyDescent="0.5">
      <c r="A122" t="s">
        <v>367</v>
      </c>
      <c r="B122" t="s">
        <v>368</v>
      </c>
      <c r="C122" t="s">
        <v>369</v>
      </c>
      <c r="D122" t="s">
        <v>33</v>
      </c>
      <c r="E122" t="s">
        <v>43</v>
      </c>
      <c r="F122" s="1">
        <v>46272</v>
      </c>
      <c r="G122" s="1">
        <v>46359</v>
      </c>
      <c r="H122" s="1">
        <v>46271</v>
      </c>
      <c r="I122" s="1"/>
      <c r="J122" s="2">
        <v>163794.75</v>
      </c>
      <c r="K122" s="2">
        <v>86237.88</v>
      </c>
      <c r="L122" s="2">
        <v>84855.65</v>
      </c>
      <c r="M122">
        <v>2408</v>
      </c>
      <c r="N122">
        <v>1022</v>
      </c>
      <c r="O122" t="s">
        <v>21</v>
      </c>
      <c r="P122" s="2">
        <f>Tabela1[[#This Row],[orcamento_aprovado]]-Tabela1[[#This Row],[custo_real_acumulado]]</f>
        <v>77556.87</v>
      </c>
      <c r="Q122" t="str">
        <f>IF(Tabela1[[#This Row],[data_fim_real]]="","",Tabela1[[#This Row],[data_fim_real]]-Tabela1[[#This Row],[data_inicio_real]])</f>
        <v/>
      </c>
    </row>
    <row r="123" spans="1:17" ht="16.5" x14ac:dyDescent="0.5">
      <c r="A123" t="s">
        <v>370</v>
      </c>
      <c r="B123" t="s">
        <v>371</v>
      </c>
      <c r="C123" t="s">
        <v>200</v>
      </c>
      <c r="D123" t="s">
        <v>18</v>
      </c>
      <c r="E123" t="s">
        <v>43</v>
      </c>
      <c r="F123" s="1">
        <v>46159</v>
      </c>
      <c r="G123" s="1">
        <v>46204</v>
      </c>
      <c r="H123" s="1">
        <v>46158</v>
      </c>
      <c r="I123" s="1"/>
      <c r="J123" s="2">
        <v>406723.93</v>
      </c>
      <c r="K123" s="2">
        <v>425762.39</v>
      </c>
      <c r="L123" s="2">
        <v>518066.65</v>
      </c>
      <c r="M123">
        <v>785</v>
      </c>
      <c r="N123">
        <v>848</v>
      </c>
      <c r="O123" t="s">
        <v>26</v>
      </c>
      <c r="P123" s="2">
        <f>Tabela1[[#This Row],[orcamento_aprovado]]-Tabela1[[#This Row],[custo_real_acumulado]]</f>
        <v>-19038.460000000021</v>
      </c>
      <c r="Q123" t="str">
        <f>IF(Tabela1[[#This Row],[data_fim_real]]="","",Tabela1[[#This Row],[data_fim_real]]-Tabela1[[#This Row],[data_inicio_real]])</f>
        <v/>
      </c>
    </row>
    <row r="124" spans="1:17" ht="16.5" x14ac:dyDescent="0.5">
      <c r="A124" t="s">
        <v>372</v>
      </c>
      <c r="B124" t="s">
        <v>373</v>
      </c>
      <c r="C124" t="s">
        <v>32</v>
      </c>
      <c r="D124" t="s">
        <v>38</v>
      </c>
      <c r="E124" t="s">
        <v>20</v>
      </c>
      <c r="F124" s="1">
        <v>46353</v>
      </c>
      <c r="G124" s="1">
        <v>46387</v>
      </c>
      <c r="H124" s="1">
        <v>46342</v>
      </c>
      <c r="I124" s="1"/>
      <c r="J124" s="2">
        <v>73985.27</v>
      </c>
      <c r="K124" s="2">
        <v>43457.66</v>
      </c>
      <c r="L124" s="2">
        <v>130718.93</v>
      </c>
      <c r="M124">
        <v>950</v>
      </c>
      <c r="N124">
        <v>456</v>
      </c>
      <c r="O124" t="s">
        <v>34</v>
      </c>
      <c r="P124" s="2">
        <f>Tabela1[[#This Row],[orcamento_aprovado]]-Tabela1[[#This Row],[custo_real_acumulado]]</f>
        <v>30527.61</v>
      </c>
      <c r="Q124" t="str">
        <f>IF(Tabela1[[#This Row],[data_fim_real]]="","",Tabela1[[#This Row],[data_fim_real]]-Tabela1[[#This Row],[data_inicio_real]])</f>
        <v/>
      </c>
    </row>
    <row r="125" spans="1:17" ht="16.5" x14ac:dyDescent="0.5">
      <c r="A125" t="s">
        <v>374</v>
      </c>
      <c r="B125" t="s">
        <v>375</v>
      </c>
      <c r="C125" t="s">
        <v>376</v>
      </c>
      <c r="D125" t="s">
        <v>50</v>
      </c>
      <c r="E125" t="s">
        <v>20</v>
      </c>
      <c r="F125" s="1">
        <v>46096</v>
      </c>
      <c r="G125" s="1">
        <v>46201</v>
      </c>
      <c r="H125" s="1"/>
      <c r="I125" s="1"/>
      <c r="J125" s="2">
        <v>226547.75</v>
      </c>
      <c r="K125" s="2">
        <v>0</v>
      </c>
      <c r="L125" s="2">
        <v>401819.25</v>
      </c>
      <c r="M125">
        <v>3699</v>
      </c>
      <c r="N125">
        <v>0</v>
      </c>
      <c r="O125" t="s">
        <v>21</v>
      </c>
      <c r="P125" s="2">
        <f>Tabela1[[#This Row],[orcamento_aprovado]]-Tabela1[[#This Row],[custo_real_acumulado]]</f>
        <v>226547.75</v>
      </c>
      <c r="Q125" t="str">
        <f>IF(Tabela1[[#This Row],[data_fim_real]]="","",Tabela1[[#This Row],[data_fim_real]]-Tabela1[[#This Row],[data_inicio_real]])</f>
        <v/>
      </c>
    </row>
    <row r="126" spans="1:17" ht="16.5" x14ac:dyDescent="0.5">
      <c r="A126" t="s">
        <v>377</v>
      </c>
      <c r="B126" t="s">
        <v>378</v>
      </c>
      <c r="C126" t="s">
        <v>188</v>
      </c>
      <c r="D126" t="s">
        <v>50</v>
      </c>
      <c r="E126" t="s">
        <v>20</v>
      </c>
      <c r="F126" s="1">
        <v>46337</v>
      </c>
      <c r="G126" s="1">
        <v>46387</v>
      </c>
      <c r="H126" s="1">
        <v>46336</v>
      </c>
      <c r="I126" s="1">
        <v>46387</v>
      </c>
      <c r="J126" s="2">
        <v>104222.61</v>
      </c>
      <c r="K126" s="2">
        <v>95174.2</v>
      </c>
      <c r="L126" s="2">
        <v>169070.79</v>
      </c>
      <c r="M126">
        <v>764</v>
      </c>
      <c r="N126">
        <v>799</v>
      </c>
      <c r="O126" t="s">
        <v>26</v>
      </c>
      <c r="P126" s="2">
        <f>Tabela1[[#This Row],[orcamento_aprovado]]-Tabela1[[#This Row],[custo_real_acumulado]]</f>
        <v>9048.4100000000035</v>
      </c>
      <c r="Q126">
        <f>IF(Tabela1[[#This Row],[data_fim_real]]="","",Tabela1[[#This Row],[data_fim_real]]-Tabela1[[#This Row],[data_inicio_real]])</f>
        <v>51</v>
      </c>
    </row>
    <row r="127" spans="1:17" ht="16.5" x14ac:dyDescent="0.5">
      <c r="A127" t="s">
        <v>379</v>
      </c>
      <c r="B127" t="s">
        <v>380</v>
      </c>
      <c r="C127" t="s">
        <v>381</v>
      </c>
      <c r="D127" t="s">
        <v>54</v>
      </c>
      <c r="E127" t="s">
        <v>20</v>
      </c>
      <c r="F127" s="1">
        <v>46065</v>
      </c>
      <c r="G127" s="1">
        <v>46154</v>
      </c>
      <c r="H127" s="1">
        <v>46068</v>
      </c>
      <c r="I127" s="1"/>
      <c r="J127" s="2">
        <v>92622.46</v>
      </c>
      <c r="K127" s="2">
        <v>75711.039999999994</v>
      </c>
      <c r="L127" s="2">
        <v>56991.92</v>
      </c>
      <c r="M127">
        <v>5522</v>
      </c>
      <c r="N127">
        <v>3353</v>
      </c>
      <c r="O127" t="s">
        <v>34</v>
      </c>
      <c r="P127" s="2">
        <f>Tabela1[[#This Row],[orcamento_aprovado]]-Tabela1[[#This Row],[custo_real_acumulado]]</f>
        <v>16911.420000000013</v>
      </c>
      <c r="Q127" t="str">
        <f>IF(Tabela1[[#This Row],[data_fim_real]]="","",Tabela1[[#This Row],[data_fim_real]]-Tabela1[[#This Row],[data_inicio_real]])</f>
        <v/>
      </c>
    </row>
    <row r="128" spans="1:17" ht="16.5" x14ac:dyDescent="0.5">
      <c r="A128" t="s">
        <v>382</v>
      </c>
      <c r="B128" t="s">
        <v>383</v>
      </c>
      <c r="C128" t="s">
        <v>138</v>
      </c>
      <c r="D128" t="s">
        <v>54</v>
      </c>
      <c r="E128" t="s">
        <v>20</v>
      </c>
      <c r="F128" s="1">
        <v>46036</v>
      </c>
      <c r="G128" s="1">
        <v>46118</v>
      </c>
      <c r="H128" s="1">
        <v>46031</v>
      </c>
      <c r="I128" s="1"/>
      <c r="J128" s="2">
        <v>122611.93</v>
      </c>
      <c r="K128" s="2">
        <v>83675.679999999993</v>
      </c>
      <c r="L128" s="2">
        <v>110015.42</v>
      </c>
      <c r="M128">
        <v>1521</v>
      </c>
      <c r="N128">
        <v>1100</v>
      </c>
      <c r="O128" t="s">
        <v>21</v>
      </c>
      <c r="P128" s="2">
        <f>Tabela1[[#This Row],[orcamento_aprovado]]-Tabela1[[#This Row],[custo_real_acumulado]]</f>
        <v>38936.25</v>
      </c>
      <c r="Q128" t="str">
        <f>IF(Tabela1[[#This Row],[data_fim_real]]="","",Tabela1[[#This Row],[data_fim_real]]-Tabela1[[#This Row],[data_inicio_real]])</f>
        <v/>
      </c>
    </row>
    <row r="129" spans="1:17" ht="16.5" x14ac:dyDescent="0.5">
      <c r="A129" t="s">
        <v>384</v>
      </c>
      <c r="B129" t="s">
        <v>385</v>
      </c>
      <c r="C129" t="s">
        <v>386</v>
      </c>
      <c r="D129" t="s">
        <v>58</v>
      </c>
      <c r="E129" t="s">
        <v>19</v>
      </c>
      <c r="F129" s="1">
        <v>46097</v>
      </c>
      <c r="G129" s="1">
        <v>46154</v>
      </c>
      <c r="H129" s="1">
        <v>46097</v>
      </c>
      <c r="I129" s="1"/>
      <c r="J129" s="2">
        <v>72156.56</v>
      </c>
      <c r="K129" s="2">
        <v>33449.120000000003</v>
      </c>
      <c r="L129" s="2">
        <v>110917.65</v>
      </c>
      <c r="M129">
        <v>1149</v>
      </c>
      <c r="N129">
        <v>553</v>
      </c>
      <c r="O129" t="s">
        <v>26</v>
      </c>
      <c r="P129" s="2">
        <f>Tabela1[[#This Row],[orcamento_aprovado]]-Tabela1[[#This Row],[custo_real_acumulado]]</f>
        <v>38707.439999999995</v>
      </c>
      <c r="Q129" t="str">
        <f>IF(Tabela1[[#This Row],[data_fim_real]]="","",Tabela1[[#This Row],[data_fim_real]]-Tabela1[[#This Row],[data_inicio_real]])</f>
        <v/>
      </c>
    </row>
    <row r="130" spans="1:17" ht="16.5" x14ac:dyDescent="0.5">
      <c r="A130" t="s">
        <v>387</v>
      </c>
      <c r="B130" t="s">
        <v>388</v>
      </c>
      <c r="C130" t="s">
        <v>389</v>
      </c>
      <c r="D130" t="s">
        <v>71</v>
      </c>
      <c r="E130" t="s">
        <v>20</v>
      </c>
      <c r="F130" s="1">
        <v>46191</v>
      </c>
      <c r="G130" s="1">
        <v>46270</v>
      </c>
      <c r="H130" s="1">
        <v>46205</v>
      </c>
      <c r="I130" s="1"/>
      <c r="J130" s="2">
        <v>71563.94</v>
      </c>
      <c r="K130" s="2">
        <v>22045.43</v>
      </c>
      <c r="L130" s="2">
        <v>108882.79</v>
      </c>
      <c r="M130">
        <v>3636</v>
      </c>
      <c r="N130">
        <v>1046</v>
      </c>
      <c r="O130" t="s">
        <v>34</v>
      </c>
      <c r="P130" s="2">
        <f>Tabela1[[#This Row],[orcamento_aprovado]]-Tabela1[[#This Row],[custo_real_acumulado]]</f>
        <v>49518.51</v>
      </c>
      <c r="Q130" t="str">
        <f>IF(Tabela1[[#This Row],[data_fim_real]]="","",Tabela1[[#This Row],[data_fim_real]]-Tabela1[[#This Row],[data_inicio_real]])</f>
        <v/>
      </c>
    </row>
    <row r="131" spans="1:17" ht="16.5" x14ac:dyDescent="0.5">
      <c r="A131" t="s">
        <v>390</v>
      </c>
      <c r="B131" t="s">
        <v>391</v>
      </c>
      <c r="C131" t="s">
        <v>392</v>
      </c>
      <c r="D131" t="s">
        <v>78</v>
      </c>
      <c r="E131" t="s">
        <v>42</v>
      </c>
      <c r="F131" s="1">
        <v>46209</v>
      </c>
      <c r="G131" s="1">
        <v>46290</v>
      </c>
      <c r="H131" s="1">
        <v>46218</v>
      </c>
      <c r="I131" s="1"/>
      <c r="J131" s="2">
        <v>137016.26999999999</v>
      </c>
      <c r="K131" s="2">
        <v>125643.95</v>
      </c>
      <c r="L131" s="2">
        <v>69998.87</v>
      </c>
      <c r="M131">
        <v>880</v>
      </c>
      <c r="N131">
        <v>609</v>
      </c>
      <c r="O131" t="s">
        <v>21</v>
      </c>
      <c r="P131" s="2">
        <f>Tabela1[[#This Row],[orcamento_aprovado]]-Tabela1[[#This Row],[custo_real_acumulado]]</f>
        <v>11372.319999999992</v>
      </c>
      <c r="Q131" t="str">
        <f>IF(Tabela1[[#This Row],[data_fim_real]]="","",Tabela1[[#This Row],[data_fim_real]]-Tabela1[[#This Row],[data_inicio_real]])</f>
        <v/>
      </c>
    </row>
    <row r="132" spans="1:17" ht="16.5" x14ac:dyDescent="0.5">
      <c r="A132" t="s">
        <v>393</v>
      </c>
      <c r="B132" t="s">
        <v>394</v>
      </c>
      <c r="C132" t="s">
        <v>395</v>
      </c>
      <c r="D132" t="s">
        <v>38</v>
      </c>
      <c r="E132" t="s">
        <v>20</v>
      </c>
      <c r="F132" s="1">
        <v>46239</v>
      </c>
      <c r="G132" s="1">
        <v>46343</v>
      </c>
      <c r="H132" s="1">
        <v>46237</v>
      </c>
      <c r="I132" s="1"/>
      <c r="J132" s="2">
        <v>128744.39</v>
      </c>
      <c r="K132" s="2">
        <v>64404.09</v>
      </c>
      <c r="L132" s="2">
        <v>110104.09</v>
      </c>
      <c r="M132">
        <v>2656</v>
      </c>
      <c r="N132">
        <v>1494</v>
      </c>
      <c r="O132" t="s">
        <v>26</v>
      </c>
      <c r="P132" s="2">
        <f>Tabela1[[#This Row],[orcamento_aprovado]]-Tabela1[[#This Row],[custo_real_acumulado]]</f>
        <v>64340.3</v>
      </c>
      <c r="Q132" t="str">
        <f>IF(Tabela1[[#This Row],[data_fim_real]]="","",Tabela1[[#This Row],[data_fim_real]]-Tabela1[[#This Row],[data_inicio_real]])</f>
        <v/>
      </c>
    </row>
    <row r="133" spans="1:17" ht="16.5" x14ac:dyDescent="0.5">
      <c r="A133" t="s">
        <v>396</v>
      </c>
      <c r="B133" t="s">
        <v>397</v>
      </c>
      <c r="C133" t="s">
        <v>74</v>
      </c>
      <c r="D133" t="s">
        <v>25</v>
      </c>
      <c r="E133" t="s">
        <v>20</v>
      </c>
      <c r="F133" s="1">
        <v>46336</v>
      </c>
      <c r="G133" s="1">
        <v>46387</v>
      </c>
      <c r="H133" s="1">
        <v>46330</v>
      </c>
      <c r="I133" s="1"/>
      <c r="J133" s="2">
        <v>50000</v>
      </c>
      <c r="K133" s="2">
        <v>33224.959999999999</v>
      </c>
      <c r="L133" s="2">
        <v>43492.32</v>
      </c>
      <c r="M133">
        <v>1743</v>
      </c>
      <c r="N133">
        <v>865</v>
      </c>
      <c r="O133" t="s">
        <v>34</v>
      </c>
      <c r="P133" s="2">
        <f>Tabela1[[#This Row],[orcamento_aprovado]]-Tabela1[[#This Row],[custo_real_acumulado]]</f>
        <v>16775.04</v>
      </c>
      <c r="Q133" t="str">
        <f>IF(Tabela1[[#This Row],[data_fim_real]]="","",Tabela1[[#This Row],[data_fim_real]]-Tabela1[[#This Row],[data_inicio_real]])</f>
        <v/>
      </c>
    </row>
    <row r="134" spans="1:17" ht="16.5" x14ac:dyDescent="0.5">
      <c r="A134" t="s">
        <v>398</v>
      </c>
      <c r="B134" t="s">
        <v>399</v>
      </c>
      <c r="C134" t="s">
        <v>235</v>
      </c>
      <c r="D134" t="s">
        <v>50</v>
      </c>
      <c r="E134" t="s">
        <v>43</v>
      </c>
      <c r="F134" s="1">
        <v>46279</v>
      </c>
      <c r="G134" s="1">
        <v>46348</v>
      </c>
      <c r="H134" s="1">
        <v>46282</v>
      </c>
      <c r="I134" s="1"/>
      <c r="J134" s="2">
        <v>50000</v>
      </c>
      <c r="K134" s="2">
        <v>29358.32</v>
      </c>
      <c r="L134" s="2">
        <v>93782.25</v>
      </c>
      <c r="M134">
        <v>3215</v>
      </c>
      <c r="N134">
        <v>2137</v>
      </c>
      <c r="O134" t="s">
        <v>21</v>
      </c>
      <c r="P134" s="2">
        <f>Tabela1[[#This Row],[orcamento_aprovado]]-Tabela1[[#This Row],[custo_real_acumulado]]</f>
        <v>20641.68</v>
      </c>
      <c r="Q134" t="str">
        <f>IF(Tabela1[[#This Row],[data_fim_real]]="","",Tabela1[[#This Row],[data_fim_real]]-Tabela1[[#This Row],[data_inicio_real]])</f>
        <v/>
      </c>
    </row>
    <row r="135" spans="1:17" ht="16.5" x14ac:dyDescent="0.5">
      <c r="A135" t="s">
        <v>400</v>
      </c>
      <c r="B135" t="s">
        <v>401</v>
      </c>
      <c r="C135" t="s">
        <v>194</v>
      </c>
      <c r="D135" t="s">
        <v>58</v>
      </c>
      <c r="E135" t="s">
        <v>43</v>
      </c>
      <c r="F135" s="1">
        <v>46057</v>
      </c>
      <c r="G135" s="1">
        <v>46180</v>
      </c>
      <c r="H135" s="1">
        <v>46076</v>
      </c>
      <c r="I135" s="1"/>
      <c r="J135" s="2">
        <v>366579.84</v>
      </c>
      <c r="K135" s="2">
        <v>209969.61</v>
      </c>
      <c r="L135" s="2">
        <v>377786.74</v>
      </c>
      <c r="M135">
        <v>2007</v>
      </c>
      <c r="N135">
        <v>1346</v>
      </c>
      <c r="O135" t="s">
        <v>26</v>
      </c>
      <c r="P135" s="2">
        <f>Tabela1[[#This Row],[orcamento_aprovado]]-Tabela1[[#This Row],[custo_real_acumulado]]</f>
        <v>156610.23000000004</v>
      </c>
      <c r="Q135" t="str">
        <f>IF(Tabela1[[#This Row],[data_fim_real]]="","",Tabela1[[#This Row],[data_fim_real]]-Tabela1[[#This Row],[data_inicio_real]])</f>
        <v/>
      </c>
    </row>
    <row r="136" spans="1:17" ht="16.5" x14ac:dyDescent="0.5">
      <c r="A136" t="s">
        <v>402</v>
      </c>
      <c r="B136" t="s">
        <v>403</v>
      </c>
      <c r="C136" t="s">
        <v>392</v>
      </c>
      <c r="D136" t="s">
        <v>33</v>
      </c>
      <c r="E136" t="s">
        <v>42</v>
      </c>
      <c r="F136" s="1">
        <v>46350</v>
      </c>
      <c r="G136" s="1">
        <v>46387</v>
      </c>
      <c r="H136" s="1">
        <v>46347</v>
      </c>
      <c r="I136" s="1"/>
      <c r="J136" s="2">
        <v>70021.539999999994</v>
      </c>
      <c r="K136" s="2">
        <v>46833.98</v>
      </c>
      <c r="L136" s="2">
        <v>85137.65</v>
      </c>
      <c r="M136">
        <v>652</v>
      </c>
      <c r="N136">
        <v>283</v>
      </c>
      <c r="O136" t="s">
        <v>34</v>
      </c>
      <c r="P136" s="2">
        <f>Tabela1[[#This Row],[orcamento_aprovado]]-Tabela1[[#This Row],[custo_real_acumulado]]</f>
        <v>23187.55999999999</v>
      </c>
      <c r="Q136" t="str">
        <f>IF(Tabela1[[#This Row],[data_fim_real]]="","",Tabela1[[#This Row],[data_fim_real]]-Tabela1[[#This Row],[data_inicio_real]])</f>
        <v/>
      </c>
    </row>
    <row r="137" spans="1:17" ht="16.5" x14ac:dyDescent="0.5">
      <c r="A137" t="s">
        <v>404</v>
      </c>
      <c r="B137" t="s">
        <v>405</v>
      </c>
      <c r="C137" t="s">
        <v>406</v>
      </c>
      <c r="D137" t="s">
        <v>25</v>
      </c>
      <c r="E137" t="s">
        <v>19</v>
      </c>
      <c r="F137" s="1">
        <v>46081</v>
      </c>
      <c r="G137" s="1">
        <v>46104</v>
      </c>
      <c r="H137" s="1">
        <v>46081</v>
      </c>
      <c r="I137" s="1"/>
      <c r="J137" s="2">
        <v>127432.18</v>
      </c>
      <c r="K137" s="2">
        <v>48401.82</v>
      </c>
      <c r="L137" s="2">
        <v>263826.93</v>
      </c>
      <c r="M137">
        <v>555</v>
      </c>
      <c r="N137">
        <v>230</v>
      </c>
      <c r="O137" t="s">
        <v>21</v>
      </c>
      <c r="P137" s="2">
        <f>Tabela1[[#This Row],[orcamento_aprovado]]-Tabela1[[#This Row],[custo_real_acumulado]]</f>
        <v>79030.359999999986</v>
      </c>
      <c r="Q137" t="str">
        <f>IF(Tabela1[[#This Row],[data_fim_real]]="","",Tabela1[[#This Row],[data_fim_real]]-Tabela1[[#This Row],[data_inicio_real]])</f>
        <v/>
      </c>
    </row>
    <row r="138" spans="1:17" ht="16.5" x14ac:dyDescent="0.5">
      <c r="A138" t="s">
        <v>407</v>
      </c>
      <c r="B138" t="s">
        <v>408</v>
      </c>
      <c r="C138" t="s">
        <v>409</v>
      </c>
      <c r="D138" t="s">
        <v>25</v>
      </c>
      <c r="E138" t="s">
        <v>19</v>
      </c>
      <c r="F138" s="1">
        <v>46214</v>
      </c>
      <c r="G138" s="1">
        <v>46261</v>
      </c>
      <c r="H138" s="1">
        <v>46236</v>
      </c>
      <c r="I138" s="1"/>
      <c r="J138" s="2">
        <v>56009.39</v>
      </c>
      <c r="K138" s="2">
        <v>30241.01</v>
      </c>
      <c r="L138" s="2">
        <v>113388.82</v>
      </c>
      <c r="M138">
        <v>1500</v>
      </c>
      <c r="N138">
        <v>672</v>
      </c>
      <c r="O138" t="s">
        <v>26</v>
      </c>
      <c r="P138" s="2">
        <f>Tabela1[[#This Row],[orcamento_aprovado]]-Tabela1[[#This Row],[custo_real_acumulado]]</f>
        <v>25768.38</v>
      </c>
      <c r="Q138" t="str">
        <f>IF(Tabela1[[#This Row],[data_fim_real]]="","",Tabela1[[#This Row],[data_fim_real]]-Tabela1[[#This Row],[data_inicio_real]])</f>
        <v/>
      </c>
    </row>
    <row r="139" spans="1:17" ht="16.5" x14ac:dyDescent="0.5">
      <c r="A139" t="s">
        <v>410</v>
      </c>
      <c r="B139" t="s">
        <v>411</v>
      </c>
      <c r="C139" t="s">
        <v>321</v>
      </c>
      <c r="D139" t="s">
        <v>54</v>
      </c>
      <c r="E139" t="s">
        <v>43</v>
      </c>
      <c r="F139" s="1">
        <v>46206</v>
      </c>
      <c r="G139" s="1">
        <v>46259</v>
      </c>
      <c r="H139" s="1">
        <v>46201</v>
      </c>
      <c r="I139" s="1">
        <v>46232</v>
      </c>
      <c r="J139" s="2">
        <v>50000</v>
      </c>
      <c r="K139" s="2">
        <v>50878.96</v>
      </c>
      <c r="L139" s="2">
        <v>86361.91</v>
      </c>
      <c r="M139">
        <v>1923</v>
      </c>
      <c r="N139">
        <v>1817</v>
      </c>
      <c r="O139" t="s">
        <v>34</v>
      </c>
      <c r="P139" s="2">
        <f>Tabela1[[#This Row],[orcamento_aprovado]]-Tabela1[[#This Row],[custo_real_acumulado]]</f>
        <v>-878.95999999999913</v>
      </c>
      <c r="Q139">
        <f>IF(Tabela1[[#This Row],[data_fim_real]]="","",Tabela1[[#This Row],[data_fim_real]]-Tabela1[[#This Row],[data_inicio_real]])</f>
        <v>31</v>
      </c>
    </row>
    <row r="140" spans="1:17" ht="16.5" x14ac:dyDescent="0.5">
      <c r="A140" t="s">
        <v>412</v>
      </c>
      <c r="B140" t="s">
        <v>413</v>
      </c>
      <c r="C140" t="s">
        <v>306</v>
      </c>
      <c r="D140" t="s">
        <v>71</v>
      </c>
      <c r="E140" t="s">
        <v>20</v>
      </c>
      <c r="F140" s="1">
        <v>46039</v>
      </c>
      <c r="G140" s="1">
        <v>46129</v>
      </c>
      <c r="H140" s="1">
        <v>46041</v>
      </c>
      <c r="I140" s="1"/>
      <c r="J140" s="2">
        <v>173958.41</v>
      </c>
      <c r="K140" s="2">
        <v>82472.33</v>
      </c>
      <c r="L140" s="2">
        <v>92034.61</v>
      </c>
      <c r="M140">
        <v>2133</v>
      </c>
      <c r="N140">
        <v>954</v>
      </c>
      <c r="O140" t="s">
        <v>21</v>
      </c>
      <c r="P140" s="2">
        <f>Tabela1[[#This Row],[orcamento_aprovado]]-Tabela1[[#This Row],[custo_real_acumulado]]</f>
        <v>91486.080000000002</v>
      </c>
      <c r="Q140" t="str">
        <f>IF(Tabela1[[#This Row],[data_fim_real]]="","",Tabela1[[#This Row],[data_fim_real]]-Tabela1[[#This Row],[data_inicio_real]])</f>
        <v/>
      </c>
    </row>
    <row r="141" spans="1:17" ht="16.5" x14ac:dyDescent="0.5">
      <c r="A141" t="s">
        <v>414</v>
      </c>
      <c r="B141" t="s">
        <v>415</v>
      </c>
      <c r="C141" t="s">
        <v>416</v>
      </c>
      <c r="D141" t="s">
        <v>33</v>
      </c>
      <c r="E141" t="s">
        <v>19</v>
      </c>
      <c r="F141" s="1">
        <v>46357</v>
      </c>
      <c r="G141" s="1">
        <v>46387</v>
      </c>
      <c r="H141" s="1">
        <v>46355</v>
      </c>
      <c r="I141" s="1"/>
      <c r="J141" s="2">
        <v>112182.82</v>
      </c>
      <c r="K141" s="2">
        <v>63130</v>
      </c>
      <c r="L141" s="2">
        <v>172689.09</v>
      </c>
      <c r="M141">
        <v>1152</v>
      </c>
      <c r="N141">
        <v>735</v>
      </c>
      <c r="O141" t="s">
        <v>26</v>
      </c>
      <c r="P141" s="2">
        <f>Tabela1[[#This Row],[orcamento_aprovado]]-Tabela1[[#This Row],[custo_real_acumulado]]</f>
        <v>49052.820000000007</v>
      </c>
      <c r="Q141" t="str">
        <f>IF(Tabela1[[#This Row],[data_fim_real]]="","",Tabela1[[#This Row],[data_fim_real]]-Tabela1[[#This Row],[data_inicio_real]])</f>
        <v/>
      </c>
    </row>
    <row r="142" spans="1:17" ht="16.5" x14ac:dyDescent="0.5">
      <c r="A142" t="s">
        <v>417</v>
      </c>
      <c r="B142" t="s">
        <v>418</v>
      </c>
      <c r="C142" t="s">
        <v>419</v>
      </c>
      <c r="D142" t="s">
        <v>25</v>
      </c>
      <c r="E142" t="s">
        <v>20</v>
      </c>
      <c r="F142" s="1">
        <v>46314</v>
      </c>
      <c r="G142" s="1">
        <v>46365</v>
      </c>
      <c r="H142" s="1">
        <v>46319</v>
      </c>
      <c r="I142" s="1"/>
      <c r="J142" s="2">
        <v>88659.02</v>
      </c>
      <c r="K142" s="2">
        <v>52867.68</v>
      </c>
      <c r="L142" s="2">
        <v>89122.49</v>
      </c>
      <c r="M142">
        <v>896</v>
      </c>
      <c r="N142">
        <v>632</v>
      </c>
      <c r="O142" t="s">
        <v>34</v>
      </c>
      <c r="P142" s="2">
        <f>Tabela1[[#This Row],[orcamento_aprovado]]-Tabela1[[#This Row],[custo_real_acumulado]]</f>
        <v>35791.340000000004</v>
      </c>
      <c r="Q142" t="str">
        <f>IF(Tabela1[[#This Row],[data_fim_real]]="","",Tabela1[[#This Row],[data_fim_real]]-Tabela1[[#This Row],[data_inicio_real]])</f>
        <v/>
      </c>
    </row>
    <row r="143" spans="1:17" ht="16.5" x14ac:dyDescent="0.5">
      <c r="A143" t="s">
        <v>420</v>
      </c>
      <c r="B143" t="s">
        <v>421</v>
      </c>
      <c r="C143" t="s">
        <v>422</v>
      </c>
      <c r="D143" t="s">
        <v>78</v>
      </c>
      <c r="E143" t="s">
        <v>19</v>
      </c>
      <c r="F143" s="1">
        <v>46369</v>
      </c>
      <c r="G143" s="1">
        <v>46387</v>
      </c>
      <c r="H143" s="1">
        <v>46363</v>
      </c>
      <c r="I143" s="1"/>
      <c r="J143" s="2">
        <v>102709.8</v>
      </c>
      <c r="K143" s="2">
        <v>49926.7</v>
      </c>
      <c r="L143" s="2">
        <v>44807.42</v>
      </c>
      <c r="M143">
        <v>114</v>
      </c>
      <c r="N143">
        <v>60</v>
      </c>
      <c r="O143" t="s">
        <v>21</v>
      </c>
      <c r="P143" s="2">
        <f>Tabela1[[#This Row],[orcamento_aprovado]]-Tabela1[[#This Row],[custo_real_acumulado]]</f>
        <v>52783.100000000006</v>
      </c>
      <c r="Q143" t="str">
        <f>IF(Tabela1[[#This Row],[data_fim_real]]="","",Tabela1[[#This Row],[data_fim_real]]-Tabela1[[#This Row],[data_inicio_real]])</f>
        <v/>
      </c>
    </row>
    <row r="144" spans="1:17" ht="16.5" x14ac:dyDescent="0.5">
      <c r="A144" t="s">
        <v>423</v>
      </c>
      <c r="B144" t="s">
        <v>424</v>
      </c>
      <c r="C144" t="s">
        <v>425</v>
      </c>
      <c r="D144" t="s">
        <v>25</v>
      </c>
      <c r="E144" t="s">
        <v>19</v>
      </c>
      <c r="F144" s="1">
        <v>46363</v>
      </c>
      <c r="G144" s="1">
        <v>46387</v>
      </c>
      <c r="H144" s="1"/>
      <c r="I144" s="1"/>
      <c r="J144" s="2">
        <v>448251.74</v>
      </c>
      <c r="K144" s="2">
        <v>0</v>
      </c>
      <c r="L144" s="2">
        <v>548041.73</v>
      </c>
      <c r="M144">
        <v>373</v>
      </c>
      <c r="N144">
        <v>0</v>
      </c>
      <c r="O144" t="s">
        <v>26</v>
      </c>
      <c r="P144" s="2">
        <f>Tabela1[[#This Row],[orcamento_aprovado]]-Tabela1[[#This Row],[custo_real_acumulado]]</f>
        <v>448251.74</v>
      </c>
      <c r="Q144" t="str">
        <f>IF(Tabela1[[#This Row],[data_fim_real]]="","",Tabela1[[#This Row],[data_fim_real]]-Tabela1[[#This Row],[data_inicio_real]])</f>
        <v/>
      </c>
    </row>
    <row r="145" spans="1:17" ht="16.5" x14ac:dyDescent="0.5">
      <c r="A145" t="s">
        <v>426</v>
      </c>
      <c r="B145" t="s">
        <v>427</v>
      </c>
      <c r="C145" t="s">
        <v>285</v>
      </c>
      <c r="D145" t="s">
        <v>54</v>
      </c>
      <c r="E145" t="s">
        <v>19</v>
      </c>
      <c r="F145" s="1">
        <v>46343</v>
      </c>
      <c r="G145" s="1">
        <v>46387</v>
      </c>
      <c r="H145" s="1">
        <v>46336</v>
      </c>
      <c r="I145" s="1"/>
      <c r="J145" s="2">
        <v>50000</v>
      </c>
      <c r="K145" s="2">
        <v>16449.88</v>
      </c>
      <c r="L145" s="2">
        <v>44826.84</v>
      </c>
      <c r="M145">
        <v>363</v>
      </c>
      <c r="N145">
        <v>116</v>
      </c>
      <c r="O145" t="s">
        <v>34</v>
      </c>
      <c r="P145" s="2">
        <f>Tabela1[[#This Row],[orcamento_aprovado]]-Tabela1[[#This Row],[custo_real_acumulado]]</f>
        <v>33550.119999999995</v>
      </c>
      <c r="Q145" t="str">
        <f>IF(Tabela1[[#This Row],[data_fim_real]]="","",Tabela1[[#This Row],[data_fim_real]]-Tabela1[[#This Row],[data_inicio_real]])</f>
        <v/>
      </c>
    </row>
    <row r="146" spans="1:17" ht="16.5" x14ac:dyDescent="0.5">
      <c r="A146" t="s">
        <v>428</v>
      </c>
      <c r="B146" t="s">
        <v>429</v>
      </c>
      <c r="C146" t="s">
        <v>430</v>
      </c>
      <c r="D146" t="s">
        <v>78</v>
      </c>
      <c r="E146" t="s">
        <v>19</v>
      </c>
      <c r="F146" s="1">
        <v>46049</v>
      </c>
      <c r="G146" s="1">
        <v>46084</v>
      </c>
      <c r="H146" s="1">
        <v>46069</v>
      </c>
      <c r="I146" s="1"/>
      <c r="J146" s="2">
        <v>164463</v>
      </c>
      <c r="K146" s="2">
        <v>160329.67000000001</v>
      </c>
      <c r="L146" s="2">
        <v>130375.79</v>
      </c>
      <c r="M146">
        <v>297</v>
      </c>
      <c r="N146">
        <v>241</v>
      </c>
      <c r="O146" t="s">
        <v>21</v>
      </c>
      <c r="P146" s="2">
        <f>Tabela1[[#This Row],[orcamento_aprovado]]-Tabela1[[#This Row],[custo_real_acumulado]]</f>
        <v>4133.3299999999872</v>
      </c>
      <c r="Q146" t="str">
        <f>IF(Tabela1[[#This Row],[data_fim_real]]="","",Tabela1[[#This Row],[data_fim_real]]-Tabela1[[#This Row],[data_inicio_real]])</f>
        <v/>
      </c>
    </row>
    <row r="147" spans="1:17" ht="16.5" x14ac:dyDescent="0.5">
      <c r="A147" t="s">
        <v>431</v>
      </c>
      <c r="B147" t="s">
        <v>432</v>
      </c>
      <c r="C147" t="s">
        <v>433</v>
      </c>
      <c r="D147" t="s">
        <v>50</v>
      </c>
      <c r="E147" t="s">
        <v>20</v>
      </c>
      <c r="F147" s="1">
        <v>46090</v>
      </c>
      <c r="G147" s="1">
        <v>46191</v>
      </c>
      <c r="H147" s="1">
        <v>46113</v>
      </c>
      <c r="I147" s="1">
        <v>46202</v>
      </c>
      <c r="J147" s="2">
        <v>50000</v>
      </c>
      <c r="K147" s="2">
        <v>62376.97</v>
      </c>
      <c r="L147" s="2">
        <v>98629.9</v>
      </c>
      <c r="M147">
        <v>2380</v>
      </c>
      <c r="N147">
        <v>2421</v>
      </c>
      <c r="O147" t="s">
        <v>26</v>
      </c>
      <c r="P147" s="2">
        <f>Tabela1[[#This Row],[orcamento_aprovado]]-Tabela1[[#This Row],[custo_real_acumulado]]</f>
        <v>-12376.970000000001</v>
      </c>
      <c r="Q147">
        <f>IF(Tabela1[[#This Row],[data_fim_real]]="","",Tabela1[[#This Row],[data_fim_real]]-Tabela1[[#This Row],[data_inicio_real]])</f>
        <v>89</v>
      </c>
    </row>
    <row r="148" spans="1:17" ht="16.5" x14ac:dyDescent="0.5">
      <c r="A148" t="s">
        <v>434</v>
      </c>
      <c r="B148" t="s">
        <v>435</v>
      </c>
      <c r="C148" t="s">
        <v>422</v>
      </c>
      <c r="D148" t="s">
        <v>18</v>
      </c>
      <c r="E148" t="s">
        <v>43</v>
      </c>
      <c r="F148" s="1">
        <v>46100</v>
      </c>
      <c r="G148" s="1">
        <v>46171</v>
      </c>
      <c r="H148" s="1">
        <v>46105</v>
      </c>
      <c r="I148" s="1"/>
      <c r="J148" s="2">
        <v>235302.94</v>
      </c>
      <c r="K148" s="2">
        <v>140121.07</v>
      </c>
      <c r="L148" s="2">
        <v>126395.22</v>
      </c>
      <c r="M148">
        <v>2530</v>
      </c>
      <c r="N148">
        <v>1729</v>
      </c>
      <c r="O148" t="s">
        <v>34</v>
      </c>
      <c r="P148" s="2">
        <f>Tabela1[[#This Row],[orcamento_aprovado]]-Tabela1[[#This Row],[custo_real_acumulado]]</f>
        <v>95181.87</v>
      </c>
      <c r="Q148" t="str">
        <f>IF(Tabela1[[#This Row],[data_fim_real]]="","",Tabela1[[#This Row],[data_fim_real]]-Tabela1[[#This Row],[data_inicio_real]])</f>
        <v/>
      </c>
    </row>
    <row r="149" spans="1:17" ht="16.5" x14ac:dyDescent="0.5">
      <c r="A149" t="s">
        <v>436</v>
      </c>
      <c r="B149" t="s">
        <v>437</v>
      </c>
      <c r="C149" t="s">
        <v>438</v>
      </c>
      <c r="D149" t="s">
        <v>54</v>
      </c>
      <c r="E149" t="s">
        <v>43</v>
      </c>
      <c r="F149" s="1">
        <v>46334</v>
      </c>
      <c r="G149" s="1">
        <v>46387</v>
      </c>
      <c r="H149" s="1">
        <v>46323</v>
      </c>
      <c r="I149" s="1"/>
      <c r="J149" s="2">
        <v>164691.59</v>
      </c>
      <c r="K149" s="2">
        <v>46326.52</v>
      </c>
      <c r="L149" s="2">
        <v>203463.02</v>
      </c>
      <c r="M149">
        <v>1496</v>
      </c>
      <c r="N149">
        <v>440</v>
      </c>
      <c r="O149" t="s">
        <v>21</v>
      </c>
      <c r="P149" s="2">
        <f>Tabela1[[#This Row],[orcamento_aprovado]]-Tabela1[[#This Row],[custo_real_acumulado]]</f>
        <v>118365.07</v>
      </c>
      <c r="Q149" t="str">
        <f>IF(Tabela1[[#This Row],[data_fim_real]]="","",Tabela1[[#This Row],[data_fim_real]]-Tabela1[[#This Row],[data_inicio_real]])</f>
        <v/>
      </c>
    </row>
    <row r="150" spans="1:17" ht="16.5" x14ac:dyDescent="0.5">
      <c r="A150" t="s">
        <v>439</v>
      </c>
      <c r="B150" t="s">
        <v>440</v>
      </c>
      <c r="C150" t="s">
        <v>129</v>
      </c>
      <c r="D150" t="s">
        <v>71</v>
      </c>
      <c r="E150" t="s">
        <v>20</v>
      </c>
      <c r="F150" s="1">
        <v>46207</v>
      </c>
      <c r="G150" s="1">
        <v>46317</v>
      </c>
      <c r="H150" s="1">
        <v>46229</v>
      </c>
      <c r="I150" s="1"/>
      <c r="J150" s="2">
        <v>211412.88</v>
      </c>
      <c r="K150" s="2">
        <v>82159.87</v>
      </c>
      <c r="L150" s="2">
        <v>207514.32</v>
      </c>
      <c r="M150">
        <v>2899</v>
      </c>
      <c r="N150">
        <v>1373</v>
      </c>
      <c r="O150" t="s">
        <v>26</v>
      </c>
      <c r="P150" s="2">
        <f>Tabela1[[#This Row],[orcamento_aprovado]]-Tabela1[[#This Row],[custo_real_acumulado]]</f>
        <v>129253.01000000001</v>
      </c>
      <c r="Q150" t="str">
        <f>IF(Tabela1[[#This Row],[data_fim_real]]="","",Tabela1[[#This Row],[data_fim_real]]-Tabela1[[#This Row],[data_inicio_real]])</f>
        <v/>
      </c>
    </row>
    <row r="151" spans="1:17" ht="16.5" x14ac:dyDescent="0.5">
      <c r="A151" t="s">
        <v>441</v>
      </c>
      <c r="B151" t="s">
        <v>442</v>
      </c>
      <c r="C151" t="s">
        <v>218</v>
      </c>
      <c r="D151" t="s">
        <v>25</v>
      </c>
      <c r="E151" t="s">
        <v>20</v>
      </c>
      <c r="F151" s="1">
        <v>46169</v>
      </c>
      <c r="G151" s="1">
        <v>46269</v>
      </c>
      <c r="H151" s="1">
        <v>46178</v>
      </c>
      <c r="I151" s="1">
        <v>46308</v>
      </c>
      <c r="J151" s="2">
        <v>157566.45000000001</v>
      </c>
      <c r="K151" s="2">
        <v>172604.85</v>
      </c>
      <c r="L151" s="2">
        <v>73796.08</v>
      </c>
      <c r="M151">
        <v>1700</v>
      </c>
      <c r="N151">
        <v>1910</v>
      </c>
      <c r="O151" t="s">
        <v>34</v>
      </c>
      <c r="P151" s="2">
        <f>Tabela1[[#This Row],[orcamento_aprovado]]-Tabela1[[#This Row],[custo_real_acumulado]]</f>
        <v>-15038.399999999994</v>
      </c>
      <c r="Q151">
        <f>IF(Tabela1[[#This Row],[data_fim_real]]="","",Tabela1[[#This Row],[data_fim_real]]-Tabela1[[#This Row],[data_inicio_real]])</f>
        <v>130</v>
      </c>
    </row>
    <row r="152" spans="1:17" ht="16.5" x14ac:dyDescent="0.5">
      <c r="A152" t="s">
        <v>443</v>
      </c>
      <c r="B152" t="s">
        <v>444</v>
      </c>
      <c r="C152" t="s">
        <v>445</v>
      </c>
      <c r="D152" t="s">
        <v>50</v>
      </c>
      <c r="E152" t="s">
        <v>42</v>
      </c>
      <c r="F152" s="1">
        <v>46355</v>
      </c>
      <c r="G152" s="1">
        <v>46387</v>
      </c>
      <c r="H152" s="1">
        <v>46358</v>
      </c>
      <c r="I152" s="1"/>
      <c r="J152" s="2">
        <v>68144.44</v>
      </c>
      <c r="K152" s="2">
        <v>50098.07</v>
      </c>
      <c r="L152" s="2">
        <v>111992.95</v>
      </c>
      <c r="M152">
        <v>428</v>
      </c>
      <c r="N152">
        <v>336</v>
      </c>
      <c r="O152" t="s">
        <v>21</v>
      </c>
      <c r="P152" s="2">
        <f>Tabela1[[#This Row],[orcamento_aprovado]]-Tabela1[[#This Row],[custo_real_acumulado]]</f>
        <v>18046.370000000003</v>
      </c>
      <c r="Q152" t="str">
        <f>IF(Tabela1[[#This Row],[data_fim_real]]="","",Tabela1[[#This Row],[data_fim_real]]-Tabela1[[#This Row],[data_inicio_real]])</f>
        <v/>
      </c>
    </row>
    <row r="153" spans="1:17" ht="16.5" x14ac:dyDescent="0.5">
      <c r="A153" t="s">
        <v>446</v>
      </c>
      <c r="B153" t="s">
        <v>447</v>
      </c>
      <c r="C153" t="s">
        <v>324</v>
      </c>
      <c r="D153" t="s">
        <v>25</v>
      </c>
      <c r="E153" t="s">
        <v>43</v>
      </c>
      <c r="F153" s="1">
        <v>46093</v>
      </c>
      <c r="G153" s="1">
        <v>46141</v>
      </c>
      <c r="H153" s="1">
        <v>46094</v>
      </c>
      <c r="I153" s="1"/>
      <c r="J153" s="2">
        <v>79006.63</v>
      </c>
      <c r="K153" s="2">
        <v>37242.76</v>
      </c>
      <c r="L153" s="2">
        <v>170659.39</v>
      </c>
      <c r="M153">
        <v>1293</v>
      </c>
      <c r="N153">
        <v>789</v>
      </c>
      <c r="O153" t="s">
        <v>26</v>
      </c>
      <c r="P153" s="2">
        <f>Tabela1[[#This Row],[orcamento_aprovado]]-Tabela1[[#This Row],[custo_real_acumulado]]</f>
        <v>41763.870000000003</v>
      </c>
      <c r="Q153" t="str">
        <f>IF(Tabela1[[#This Row],[data_fim_real]]="","",Tabela1[[#This Row],[data_fim_real]]-Tabela1[[#This Row],[data_inicio_real]])</f>
        <v/>
      </c>
    </row>
    <row r="154" spans="1:17" ht="16.5" x14ac:dyDescent="0.5">
      <c r="A154" t="s">
        <v>448</v>
      </c>
      <c r="B154" t="s">
        <v>449</v>
      </c>
      <c r="C154" t="s">
        <v>450</v>
      </c>
      <c r="D154" t="s">
        <v>142</v>
      </c>
      <c r="E154" t="s">
        <v>19</v>
      </c>
      <c r="F154" s="1">
        <v>46344</v>
      </c>
      <c r="G154" s="1">
        <v>46387</v>
      </c>
      <c r="H154" s="1"/>
      <c r="I154" s="1"/>
      <c r="J154" s="2">
        <v>58739.57</v>
      </c>
      <c r="K154" s="2">
        <v>0</v>
      </c>
      <c r="L154" s="2">
        <v>44622.7</v>
      </c>
      <c r="M154">
        <v>858</v>
      </c>
      <c r="N154">
        <v>0</v>
      </c>
      <c r="O154" t="s">
        <v>34</v>
      </c>
      <c r="P154" s="2">
        <f>Tabela1[[#This Row],[orcamento_aprovado]]-Tabela1[[#This Row],[custo_real_acumulado]]</f>
        <v>58739.57</v>
      </c>
      <c r="Q154" t="str">
        <f>IF(Tabela1[[#This Row],[data_fim_real]]="","",Tabela1[[#This Row],[data_fim_real]]-Tabela1[[#This Row],[data_inicio_real]])</f>
        <v/>
      </c>
    </row>
    <row r="155" spans="1:17" ht="16.5" x14ac:dyDescent="0.5">
      <c r="A155" t="s">
        <v>451</v>
      </c>
      <c r="B155" t="s">
        <v>452</v>
      </c>
      <c r="C155" t="s">
        <v>355</v>
      </c>
      <c r="D155" t="s">
        <v>50</v>
      </c>
      <c r="E155" t="s">
        <v>20</v>
      </c>
      <c r="F155" s="1">
        <v>46219</v>
      </c>
      <c r="G155" s="1">
        <v>46325</v>
      </c>
      <c r="H155" s="1">
        <v>46216</v>
      </c>
      <c r="I155" s="1"/>
      <c r="J155" s="2">
        <v>64908.2</v>
      </c>
      <c r="K155" s="2">
        <v>32828.07</v>
      </c>
      <c r="L155" s="2">
        <v>19489.07</v>
      </c>
      <c r="M155">
        <v>1190</v>
      </c>
      <c r="N155">
        <v>494</v>
      </c>
      <c r="O155" t="s">
        <v>21</v>
      </c>
      <c r="P155" s="2">
        <f>Tabela1[[#This Row],[orcamento_aprovado]]-Tabela1[[#This Row],[custo_real_acumulado]]</f>
        <v>32080.129999999997</v>
      </c>
      <c r="Q155" t="str">
        <f>IF(Tabela1[[#This Row],[data_fim_real]]="","",Tabela1[[#This Row],[data_fim_real]]-Tabela1[[#This Row],[data_inicio_real]])</f>
        <v/>
      </c>
    </row>
    <row r="156" spans="1:17" ht="16.5" x14ac:dyDescent="0.5">
      <c r="A156" t="s">
        <v>453</v>
      </c>
      <c r="B156" t="s">
        <v>454</v>
      </c>
      <c r="C156" t="s">
        <v>455</v>
      </c>
      <c r="D156" t="s">
        <v>18</v>
      </c>
      <c r="E156" t="s">
        <v>20</v>
      </c>
      <c r="F156" s="1">
        <v>46046</v>
      </c>
      <c r="G156" s="1">
        <v>46160</v>
      </c>
      <c r="H156" s="1"/>
      <c r="I156" s="1"/>
      <c r="J156" s="2">
        <v>176830.66</v>
      </c>
      <c r="K156" s="2">
        <v>0</v>
      </c>
      <c r="L156" s="2">
        <v>318113.34999999998</v>
      </c>
      <c r="M156">
        <v>2923</v>
      </c>
      <c r="N156">
        <v>0</v>
      </c>
      <c r="O156" t="s">
        <v>26</v>
      </c>
      <c r="P156" s="2">
        <f>Tabela1[[#This Row],[orcamento_aprovado]]-Tabela1[[#This Row],[custo_real_acumulado]]</f>
        <v>176830.66</v>
      </c>
      <c r="Q156" t="str">
        <f>IF(Tabela1[[#This Row],[data_fim_real]]="","",Tabela1[[#This Row],[data_fim_real]]-Tabela1[[#This Row],[data_inicio_real]])</f>
        <v/>
      </c>
    </row>
    <row r="157" spans="1:17" ht="16.5" x14ac:dyDescent="0.5">
      <c r="A157" t="s">
        <v>456</v>
      </c>
      <c r="B157" t="s">
        <v>457</v>
      </c>
      <c r="C157" t="s">
        <v>422</v>
      </c>
      <c r="D157" t="s">
        <v>25</v>
      </c>
      <c r="E157" t="s">
        <v>19</v>
      </c>
      <c r="F157" s="1">
        <v>46302</v>
      </c>
      <c r="G157" s="1">
        <v>46387</v>
      </c>
      <c r="H157" s="1">
        <v>46319</v>
      </c>
      <c r="I157" s="1"/>
      <c r="J157" s="2">
        <v>213697.77</v>
      </c>
      <c r="K157" s="2">
        <v>206091.59</v>
      </c>
      <c r="L157" s="2">
        <v>450147.55</v>
      </c>
      <c r="M157">
        <v>1826</v>
      </c>
      <c r="N157">
        <v>1685</v>
      </c>
      <c r="O157" t="s">
        <v>34</v>
      </c>
      <c r="P157" s="2">
        <f>Tabela1[[#This Row],[orcamento_aprovado]]-Tabela1[[#This Row],[custo_real_acumulado]]</f>
        <v>7606.179999999993</v>
      </c>
      <c r="Q157" t="str">
        <f>IF(Tabela1[[#This Row],[data_fim_real]]="","",Tabela1[[#This Row],[data_fim_real]]-Tabela1[[#This Row],[data_inicio_real]])</f>
        <v/>
      </c>
    </row>
    <row r="158" spans="1:17" ht="16.5" x14ac:dyDescent="0.5">
      <c r="A158" t="s">
        <v>458</v>
      </c>
      <c r="B158" t="s">
        <v>459</v>
      </c>
      <c r="C158" t="s">
        <v>460</v>
      </c>
      <c r="D158" t="s">
        <v>18</v>
      </c>
      <c r="E158" t="s">
        <v>43</v>
      </c>
      <c r="F158" s="1">
        <v>46166</v>
      </c>
      <c r="G158" s="1">
        <v>46245</v>
      </c>
      <c r="H158" s="1">
        <v>46146</v>
      </c>
      <c r="I158" s="1"/>
      <c r="J158" s="2">
        <v>50000</v>
      </c>
      <c r="K158" s="2">
        <v>24937.07</v>
      </c>
      <c r="L158" s="2">
        <v>19973.73</v>
      </c>
      <c r="M158">
        <v>2149</v>
      </c>
      <c r="N158">
        <v>1121</v>
      </c>
      <c r="O158" t="s">
        <v>21</v>
      </c>
      <c r="P158" s="2">
        <f>Tabela1[[#This Row],[orcamento_aprovado]]-Tabela1[[#This Row],[custo_real_acumulado]]</f>
        <v>25062.93</v>
      </c>
      <c r="Q158" t="str">
        <f>IF(Tabela1[[#This Row],[data_fim_real]]="","",Tabela1[[#This Row],[data_fim_real]]-Tabela1[[#This Row],[data_inicio_real]])</f>
        <v/>
      </c>
    </row>
    <row r="159" spans="1:17" ht="16.5" x14ac:dyDescent="0.5">
      <c r="A159" t="s">
        <v>461</v>
      </c>
      <c r="B159" t="s">
        <v>462</v>
      </c>
      <c r="C159" t="s">
        <v>463</v>
      </c>
      <c r="D159" t="s">
        <v>25</v>
      </c>
      <c r="E159" t="s">
        <v>43</v>
      </c>
      <c r="F159" s="1">
        <v>46224</v>
      </c>
      <c r="G159" s="1">
        <v>46311</v>
      </c>
      <c r="H159" s="1">
        <v>46220</v>
      </c>
      <c r="I159" s="1"/>
      <c r="J159" s="2">
        <v>273668.69</v>
      </c>
      <c r="K159" s="2">
        <v>117554.5</v>
      </c>
      <c r="L159" s="2">
        <v>287557.03000000003</v>
      </c>
      <c r="M159">
        <v>1233</v>
      </c>
      <c r="N159">
        <v>546</v>
      </c>
      <c r="O159" t="s">
        <v>26</v>
      </c>
      <c r="P159" s="2">
        <f>Tabela1[[#This Row],[orcamento_aprovado]]-Tabela1[[#This Row],[custo_real_acumulado]]</f>
        <v>156114.19</v>
      </c>
      <c r="Q159" t="str">
        <f>IF(Tabela1[[#This Row],[data_fim_real]]="","",Tabela1[[#This Row],[data_fim_real]]-Tabela1[[#This Row],[data_inicio_real]])</f>
        <v/>
      </c>
    </row>
    <row r="160" spans="1:17" ht="16.5" x14ac:dyDescent="0.5">
      <c r="A160" t="s">
        <v>464</v>
      </c>
      <c r="B160" t="s">
        <v>465</v>
      </c>
      <c r="C160" t="s">
        <v>77</v>
      </c>
      <c r="D160" t="s">
        <v>71</v>
      </c>
      <c r="E160" t="s">
        <v>43</v>
      </c>
      <c r="F160" s="1">
        <v>46180</v>
      </c>
      <c r="G160" s="1">
        <v>46249</v>
      </c>
      <c r="H160" s="1">
        <v>46190</v>
      </c>
      <c r="I160" s="1">
        <v>46218</v>
      </c>
      <c r="J160" s="2">
        <v>50000</v>
      </c>
      <c r="K160" s="2">
        <v>9947.89</v>
      </c>
      <c r="L160" s="2">
        <v>53407.53</v>
      </c>
      <c r="M160">
        <v>1960</v>
      </c>
      <c r="N160">
        <v>399</v>
      </c>
      <c r="O160" t="s">
        <v>34</v>
      </c>
      <c r="P160" s="2">
        <f>Tabela1[[#This Row],[orcamento_aprovado]]-Tabela1[[#This Row],[custo_real_acumulado]]</f>
        <v>40052.11</v>
      </c>
      <c r="Q160">
        <f>IF(Tabela1[[#This Row],[data_fim_real]]="","",Tabela1[[#This Row],[data_fim_real]]-Tabela1[[#This Row],[data_inicio_real]])</f>
        <v>28</v>
      </c>
    </row>
    <row r="161" spans="1:17" ht="16.5" x14ac:dyDescent="0.5">
      <c r="A161" t="s">
        <v>466</v>
      </c>
      <c r="B161" t="s">
        <v>467</v>
      </c>
      <c r="C161" t="s">
        <v>138</v>
      </c>
      <c r="D161" t="s">
        <v>38</v>
      </c>
      <c r="E161" t="s">
        <v>19</v>
      </c>
      <c r="F161" s="1">
        <v>46254</v>
      </c>
      <c r="G161" s="1">
        <v>46365</v>
      </c>
      <c r="H161" s="1">
        <v>46250</v>
      </c>
      <c r="I161" s="1">
        <v>46344</v>
      </c>
      <c r="J161" s="2">
        <v>81621.17</v>
      </c>
      <c r="K161" s="2">
        <v>24975.64</v>
      </c>
      <c r="L161" s="2">
        <v>27208.38</v>
      </c>
      <c r="M161">
        <v>834</v>
      </c>
      <c r="N161">
        <v>246</v>
      </c>
      <c r="O161" t="s">
        <v>21</v>
      </c>
      <c r="P161" s="2">
        <f>Tabela1[[#This Row],[orcamento_aprovado]]-Tabela1[[#This Row],[custo_real_acumulado]]</f>
        <v>56645.53</v>
      </c>
      <c r="Q161">
        <f>IF(Tabela1[[#This Row],[data_fim_real]]="","",Tabela1[[#This Row],[data_fim_real]]-Tabela1[[#This Row],[data_inicio_real]])</f>
        <v>94</v>
      </c>
    </row>
    <row r="162" spans="1:17" ht="16.5" x14ac:dyDescent="0.5">
      <c r="A162" t="s">
        <v>468</v>
      </c>
      <c r="B162" t="s">
        <v>469</v>
      </c>
      <c r="C162" t="s">
        <v>296</v>
      </c>
      <c r="D162" t="s">
        <v>25</v>
      </c>
      <c r="E162" t="s">
        <v>42</v>
      </c>
      <c r="F162" s="1">
        <v>46250</v>
      </c>
      <c r="G162" s="1">
        <v>46273</v>
      </c>
      <c r="H162" s="1">
        <v>46254</v>
      </c>
      <c r="I162" s="1">
        <v>46269</v>
      </c>
      <c r="J162" s="2">
        <v>119989.86</v>
      </c>
      <c r="K162" s="2">
        <v>43228.34</v>
      </c>
      <c r="L162" s="2">
        <v>140411.17000000001</v>
      </c>
      <c r="M162">
        <v>455</v>
      </c>
      <c r="N162">
        <v>155</v>
      </c>
      <c r="O162" t="s">
        <v>26</v>
      </c>
      <c r="P162" s="2">
        <f>Tabela1[[#This Row],[orcamento_aprovado]]-Tabela1[[#This Row],[custo_real_acumulado]]</f>
        <v>76761.52</v>
      </c>
      <c r="Q162">
        <f>IF(Tabela1[[#This Row],[data_fim_real]]="","",Tabela1[[#This Row],[data_fim_real]]-Tabela1[[#This Row],[data_inicio_real]])</f>
        <v>15</v>
      </c>
    </row>
    <row r="163" spans="1:17" ht="16.5" x14ac:dyDescent="0.5">
      <c r="A163" t="s">
        <v>470</v>
      </c>
      <c r="B163" t="s">
        <v>471</v>
      </c>
      <c r="C163" t="s">
        <v>46</v>
      </c>
      <c r="D163" t="s">
        <v>54</v>
      </c>
      <c r="E163" t="s">
        <v>20</v>
      </c>
      <c r="F163" s="1">
        <v>46337</v>
      </c>
      <c r="G163" s="1">
        <v>46387</v>
      </c>
      <c r="H163" s="1">
        <v>46339</v>
      </c>
      <c r="I163" s="1"/>
      <c r="J163" s="2">
        <v>102878.21</v>
      </c>
      <c r="K163" s="2">
        <v>61579.25</v>
      </c>
      <c r="L163" s="2">
        <v>74918.42</v>
      </c>
      <c r="M163">
        <v>1322</v>
      </c>
      <c r="N163">
        <v>859</v>
      </c>
      <c r="O163" t="s">
        <v>34</v>
      </c>
      <c r="P163" s="2">
        <f>Tabela1[[#This Row],[orcamento_aprovado]]-Tabela1[[#This Row],[custo_real_acumulado]]</f>
        <v>41298.960000000006</v>
      </c>
      <c r="Q163" t="str">
        <f>IF(Tabela1[[#This Row],[data_fim_real]]="","",Tabela1[[#This Row],[data_fim_real]]-Tabela1[[#This Row],[data_inicio_real]])</f>
        <v/>
      </c>
    </row>
    <row r="164" spans="1:17" ht="16.5" x14ac:dyDescent="0.5">
      <c r="A164" t="s">
        <v>472</v>
      </c>
      <c r="B164" t="s">
        <v>473</v>
      </c>
      <c r="C164" t="s">
        <v>474</v>
      </c>
      <c r="D164" t="s">
        <v>58</v>
      </c>
      <c r="E164" t="s">
        <v>42</v>
      </c>
      <c r="F164" s="1">
        <v>46199</v>
      </c>
      <c r="G164" s="1">
        <v>46233</v>
      </c>
      <c r="H164" s="1">
        <v>46210</v>
      </c>
      <c r="I164" s="1"/>
      <c r="J164" s="2">
        <v>81681.69</v>
      </c>
      <c r="K164" s="2">
        <v>55244.7</v>
      </c>
      <c r="L164" s="2">
        <v>162650.15</v>
      </c>
      <c r="M164">
        <v>1279</v>
      </c>
      <c r="N164">
        <v>906</v>
      </c>
      <c r="O164" t="s">
        <v>21</v>
      </c>
      <c r="P164" s="2">
        <f>Tabela1[[#This Row],[orcamento_aprovado]]-Tabela1[[#This Row],[custo_real_acumulado]]</f>
        <v>26436.990000000005</v>
      </c>
      <c r="Q164" t="str">
        <f>IF(Tabela1[[#This Row],[data_fim_real]]="","",Tabela1[[#This Row],[data_fim_real]]-Tabela1[[#This Row],[data_inicio_real]])</f>
        <v/>
      </c>
    </row>
    <row r="165" spans="1:17" ht="16.5" x14ac:dyDescent="0.5">
      <c r="A165" t="s">
        <v>475</v>
      </c>
      <c r="B165" t="s">
        <v>476</v>
      </c>
      <c r="C165" t="s">
        <v>106</v>
      </c>
      <c r="D165" t="s">
        <v>33</v>
      </c>
      <c r="E165" t="s">
        <v>42</v>
      </c>
      <c r="F165" s="1">
        <v>46051</v>
      </c>
      <c r="G165" s="1">
        <v>46126</v>
      </c>
      <c r="H165" s="1">
        <v>46038</v>
      </c>
      <c r="I165" s="1"/>
      <c r="J165" s="2">
        <v>118148.86</v>
      </c>
      <c r="K165" s="2">
        <v>55570.36</v>
      </c>
      <c r="L165" s="2">
        <v>138631.53</v>
      </c>
      <c r="M165">
        <v>704</v>
      </c>
      <c r="N165">
        <v>283</v>
      </c>
      <c r="O165" t="s">
        <v>26</v>
      </c>
      <c r="P165" s="2">
        <f>Tabela1[[#This Row],[orcamento_aprovado]]-Tabela1[[#This Row],[custo_real_acumulado]]</f>
        <v>62578.5</v>
      </c>
      <c r="Q165" t="str">
        <f>IF(Tabela1[[#This Row],[data_fim_real]]="","",Tabela1[[#This Row],[data_fim_real]]-Tabela1[[#This Row],[data_inicio_real]])</f>
        <v/>
      </c>
    </row>
    <row r="166" spans="1:17" ht="16.5" x14ac:dyDescent="0.5">
      <c r="A166" t="s">
        <v>477</v>
      </c>
      <c r="B166" t="s">
        <v>478</v>
      </c>
      <c r="C166" t="s">
        <v>240</v>
      </c>
      <c r="D166" t="s">
        <v>33</v>
      </c>
      <c r="E166" t="s">
        <v>43</v>
      </c>
      <c r="F166" s="1">
        <v>46181</v>
      </c>
      <c r="G166" s="1">
        <v>46271</v>
      </c>
      <c r="H166" s="1">
        <v>46187</v>
      </c>
      <c r="I166" s="1">
        <v>46240</v>
      </c>
      <c r="J166" s="2">
        <v>70331.77</v>
      </c>
      <c r="K166" s="2">
        <v>22944.14</v>
      </c>
      <c r="L166" s="2">
        <v>30865.45</v>
      </c>
      <c r="M166">
        <v>1769</v>
      </c>
      <c r="N166">
        <v>577</v>
      </c>
      <c r="O166" t="s">
        <v>34</v>
      </c>
      <c r="P166" s="2">
        <f>Tabela1[[#This Row],[orcamento_aprovado]]-Tabela1[[#This Row],[custo_real_acumulado]]</f>
        <v>47387.630000000005</v>
      </c>
      <c r="Q166">
        <f>IF(Tabela1[[#This Row],[data_fim_real]]="","",Tabela1[[#This Row],[data_fim_real]]-Tabela1[[#This Row],[data_inicio_real]])</f>
        <v>53</v>
      </c>
    </row>
    <row r="167" spans="1:17" ht="16.5" x14ac:dyDescent="0.5">
      <c r="A167" t="s">
        <v>479</v>
      </c>
      <c r="B167" t="s">
        <v>480</v>
      </c>
      <c r="C167" t="s">
        <v>29</v>
      </c>
      <c r="D167" t="s">
        <v>142</v>
      </c>
      <c r="E167" t="s">
        <v>20</v>
      </c>
      <c r="F167" s="1">
        <v>46209</v>
      </c>
      <c r="G167" s="1">
        <v>46301</v>
      </c>
      <c r="H167" s="1">
        <v>46219</v>
      </c>
      <c r="I167" s="1"/>
      <c r="J167" s="2">
        <v>50000</v>
      </c>
      <c r="K167" s="2">
        <v>11836.38</v>
      </c>
      <c r="L167" s="2">
        <v>62395.09</v>
      </c>
      <c r="M167">
        <v>4312</v>
      </c>
      <c r="N167">
        <v>795</v>
      </c>
      <c r="O167" t="s">
        <v>21</v>
      </c>
      <c r="P167" s="2">
        <f>Tabela1[[#This Row],[orcamento_aprovado]]-Tabela1[[#This Row],[custo_real_acumulado]]</f>
        <v>38163.620000000003</v>
      </c>
      <c r="Q167" t="str">
        <f>IF(Tabela1[[#This Row],[data_fim_real]]="","",Tabela1[[#This Row],[data_fim_real]]-Tabela1[[#This Row],[data_inicio_real]])</f>
        <v/>
      </c>
    </row>
    <row r="168" spans="1:17" ht="16.5" x14ac:dyDescent="0.5">
      <c r="A168" t="s">
        <v>481</v>
      </c>
      <c r="B168" t="s">
        <v>482</v>
      </c>
      <c r="C168" t="s">
        <v>483</v>
      </c>
      <c r="D168" t="s">
        <v>50</v>
      </c>
      <c r="E168" t="s">
        <v>20</v>
      </c>
      <c r="F168" s="1">
        <v>46375</v>
      </c>
      <c r="G168" s="1">
        <v>46387</v>
      </c>
      <c r="H168" s="1">
        <v>46374</v>
      </c>
      <c r="I168" s="1"/>
      <c r="J168" s="2">
        <v>529547.12</v>
      </c>
      <c r="K168" s="2">
        <v>251864.55</v>
      </c>
      <c r="L168" s="2">
        <v>559143.29</v>
      </c>
      <c r="M168">
        <v>809</v>
      </c>
      <c r="N168">
        <v>506</v>
      </c>
      <c r="O168" t="s">
        <v>26</v>
      </c>
      <c r="P168" s="2">
        <f>Tabela1[[#This Row],[orcamento_aprovado]]-Tabela1[[#This Row],[custo_real_acumulado]]</f>
        <v>277682.57</v>
      </c>
      <c r="Q168" t="str">
        <f>IF(Tabela1[[#This Row],[data_fim_real]]="","",Tabela1[[#This Row],[data_fim_real]]-Tabela1[[#This Row],[data_inicio_real]])</f>
        <v/>
      </c>
    </row>
    <row r="169" spans="1:17" ht="16.5" x14ac:dyDescent="0.5">
      <c r="A169" t="s">
        <v>484</v>
      </c>
      <c r="B169" t="s">
        <v>485</v>
      </c>
      <c r="C169" t="s">
        <v>486</v>
      </c>
      <c r="D169" t="s">
        <v>25</v>
      </c>
      <c r="E169" t="s">
        <v>42</v>
      </c>
      <c r="F169" s="1">
        <v>46186</v>
      </c>
      <c r="G169" s="1">
        <v>46239</v>
      </c>
      <c r="H169" s="1">
        <v>46171</v>
      </c>
      <c r="I169" s="1"/>
      <c r="J169" s="2">
        <v>57084.97</v>
      </c>
      <c r="K169" s="2">
        <v>32231.46</v>
      </c>
      <c r="L169" s="2">
        <v>43199.5</v>
      </c>
      <c r="M169">
        <v>1419</v>
      </c>
      <c r="N169">
        <v>1089</v>
      </c>
      <c r="O169" t="s">
        <v>34</v>
      </c>
      <c r="P169" s="2">
        <f>Tabela1[[#This Row],[orcamento_aprovado]]-Tabela1[[#This Row],[custo_real_acumulado]]</f>
        <v>24853.510000000002</v>
      </c>
      <c r="Q169" t="str">
        <f>IF(Tabela1[[#This Row],[data_fim_real]]="","",Tabela1[[#This Row],[data_fim_real]]-Tabela1[[#This Row],[data_inicio_real]])</f>
        <v/>
      </c>
    </row>
    <row r="170" spans="1:17" ht="16.5" x14ac:dyDescent="0.5">
      <c r="A170" t="s">
        <v>487</v>
      </c>
      <c r="B170" t="s">
        <v>488</v>
      </c>
      <c r="C170" t="s">
        <v>489</v>
      </c>
      <c r="D170" t="s">
        <v>38</v>
      </c>
      <c r="E170" t="s">
        <v>19</v>
      </c>
      <c r="F170" s="1">
        <v>46202</v>
      </c>
      <c r="G170" s="1">
        <v>46270</v>
      </c>
      <c r="H170" s="1">
        <v>46190</v>
      </c>
      <c r="I170" s="1">
        <v>46304</v>
      </c>
      <c r="J170" s="2">
        <v>153182.39999999999</v>
      </c>
      <c r="K170" s="2">
        <v>176697.51</v>
      </c>
      <c r="L170" s="2">
        <v>128174.23</v>
      </c>
      <c r="M170">
        <v>1900</v>
      </c>
      <c r="N170">
        <v>1676</v>
      </c>
      <c r="O170" t="s">
        <v>21</v>
      </c>
      <c r="P170" s="2">
        <f>Tabela1[[#This Row],[orcamento_aprovado]]-Tabela1[[#This Row],[custo_real_acumulado]]</f>
        <v>-23515.110000000015</v>
      </c>
      <c r="Q170">
        <f>IF(Tabela1[[#This Row],[data_fim_real]]="","",Tabela1[[#This Row],[data_fim_real]]-Tabela1[[#This Row],[data_inicio_real]])</f>
        <v>114</v>
      </c>
    </row>
    <row r="171" spans="1:17" ht="16.5" x14ac:dyDescent="0.5">
      <c r="A171" t="s">
        <v>490</v>
      </c>
      <c r="B171" t="s">
        <v>491</v>
      </c>
      <c r="C171" t="s">
        <v>492</v>
      </c>
      <c r="D171" t="s">
        <v>142</v>
      </c>
      <c r="E171" t="s">
        <v>43</v>
      </c>
      <c r="F171" s="1">
        <v>46061</v>
      </c>
      <c r="G171" s="1">
        <v>46188</v>
      </c>
      <c r="H171" s="1">
        <v>46052</v>
      </c>
      <c r="I171" s="1"/>
      <c r="J171" s="2">
        <v>200688.64000000001</v>
      </c>
      <c r="K171" s="2">
        <v>119813.41</v>
      </c>
      <c r="L171" s="2">
        <v>86519.77</v>
      </c>
      <c r="M171">
        <v>6724</v>
      </c>
      <c r="N171">
        <v>4570</v>
      </c>
      <c r="O171" t="s">
        <v>26</v>
      </c>
      <c r="P171" s="2">
        <f>Tabela1[[#This Row],[orcamento_aprovado]]-Tabela1[[#This Row],[custo_real_acumulado]]</f>
        <v>80875.23000000001</v>
      </c>
      <c r="Q171" t="str">
        <f>IF(Tabela1[[#This Row],[data_fim_real]]="","",Tabela1[[#This Row],[data_fim_real]]-Tabela1[[#This Row],[data_inicio_real]])</f>
        <v/>
      </c>
    </row>
    <row r="172" spans="1:17" ht="16.5" x14ac:dyDescent="0.5">
      <c r="A172" t="s">
        <v>493</v>
      </c>
      <c r="B172" t="s">
        <v>494</v>
      </c>
      <c r="C172" t="s">
        <v>495</v>
      </c>
      <c r="D172" t="s">
        <v>142</v>
      </c>
      <c r="E172" t="s">
        <v>43</v>
      </c>
      <c r="F172" s="1">
        <v>46299</v>
      </c>
      <c r="G172" s="1">
        <v>46336</v>
      </c>
      <c r="H172" s="1">
        <v>46285</v>
      </c>
      <c r="I172" s="1"/>
      <c r="J172" s="2">
        <v>65950.259999999995</v>
      </c>
      <c r="K172" s="2">
        <v>36847.129999999997</v>
      </c>
      <c r="L172" s="2">
        <v>19786.54</v>
      </c>
      <c r="M172">
        <v>472</v>
      </c>
      <c r="N172">
        <v>234</v>
      </c>
      <c r="O172" t="s">
        <v>34</v>
      </c>
      <c r="P172" s="2">
        <f>Tabela1[[#This Row],[orcamento_aprovado]]-Tabela1[[#This Row],[custo_real_acumulado]]</f>
        <v>29103.129999999997</v>
      </c>
      <c r="Q172" t="str">
        <f>IF(Tabela1[[#This Row],[data_fim_real]]="","",Tabela1[[#This Row],[data_fim_real]]-Tabela1[[#This Row],[data_inicio_real]])</f>
        <v/>
      </c>
    </row>
    <row r="173" spans="1:17" ht="16.5" x14ac:dyDescent="0.5">
      <c r="A173" t="s">
        <v>496</v>
      </c>
      <c r="B173" t="s">
        <v>497</v>
      </c>
      <c r="C173" t="s">
        <v>498</v>
      </c>
      <c r="D173" t="s">
        <v>18</v>
      </c>
      <c r="E173" t="s">
        <v>19</v>
      </c>
      <c r="F173" s="1">
        <v>46128</v>
      </c>
      <c r="G173" s="1">
        <v>46164</v>
      </c>
      <c r="H173" s="1">
        <v>46137</v>
      </c>
      <c r="I173" s="1"/>
      <c r="J173" s="2">
        <v>168223.71</v>
      </c>
      <c r="K173" s="2">
        <v>36000.019999999997</v>
      </c>
      <c r="L173" s="2">
        <v>154439.59</v>
      </c>
      <c r="M173">
        <v>769</v>
      </c>
      <c r="N173">
        <v>172</v>
      </c>
      <c r="O173" t="s">
        <v>21</v>
      </c>
      <c r="P173" s="2">
        <f>Tabela1[[#This Row],[orcamento_aprovado]]-Tabela1[[#This Row],[custo_real_acumulado]]</f>
        <v>132223.69</v>
      </c>
      <c r="Q173" t="str">
        <f>IF(Tabela1[[#This Row],[data_fim_real]]="","",Tabela1[[#This Row],[data_fim_real]]-Tabela1[[#This Row],[data_inicio_real]])</f>
        <v/>
      </c>
    </row>
    <row r="174" spans="1:17" ht="16.5" x14ac:dyDescent="0.5">
      <c r="A174" t="s">
        <v>499</v>
      </c>
      <c r="B174" t="s">
        <v>500</v>
      </c>
      <c r="C174" t="s">
        <v>194</v>
      </c>
      <c r="D174" t="s">
        <v>54</v>
      </c>
      <c r="E174" t="s">
        <v>19</v>
      </c>
      <c r="F174" s="1">
        <v>46261</v>
      </c>
      <c r="G174" s="1">
        <v>46385</v>
      </c>
      <c r="H174" s="1">
        <v>46264</v>
      </c>
      <c r="I174" s="1"/>
      <c r="J174" s="2">
        <v>50799.64</v>
      </c>
      <c r="K174" s="2">
        <v>20074.29</v>
      </c>
      <c r="L174" s="2">
        <v>107147.69</v>
      </c>
      <c r="M174">
        <v>5923</v>
      </c>
      <c r="N174">
        <v>1694</v>
      </c>
      <c r="O174" t="s">
        <v>26</v>
      </c>
      <c r="P174" s="2">
        <f>Tabela1[[#This Row],[orcamento_aprovado]]-Tabela1[[#This Row],[custo_real_acumulado]]</f>
        <v>30725.35</v>
      </c>
      <c r="Q174" t="str">
        <f>IF(Tabela1[[#This Row],[data_fim_real]]="","",Tabela1[[#This Row],[data_fim_real]]-Tabela1[[#This Row],[data_inicio_real]])</f>
        <v/>
      </c>
    </row>
    <row r="175" spans="1:17" ht="16.5" x14ac:dyDescent="0.5">
      <c r="A175" t="s">
        <v>501</v>
      </c>
      <c r="B175" t="s">
        <v>502</v>
      </c>
      <c r="C175" t="s">
        <v>503</v>
      </c>
      <c r="D175" t="s">
        <v>50</v>
      </c>
      <c r="E175" t="s">
        <v>19</v>
      </c>
      <c r="F175" s="1">
        <v>46266</v>
      </c>
      <c r="G175" s="1">
        <v>46306</v>
      </c>
      <c r="H175" s="1">
        <v>46288</v>
      </c>
      <c r="I175" s="1"/>
      <c r="J175" s="2">
        <v>160392.38</v>
      </c>
      <c r="K175" s="2">
        <v>179952.62</v>
      </c>
      <c r="L175" s="2">
        <v>265805.56</v>
      </c>
      <c r="M175">
        <v>1181</v>
      </c>
      <c r="N175">
        <v>985</v>
      </c>
      <c r="O175" t="s">
        <v>34</v>
      </c>
      <c r="P175" s="2">
        <f>Tabela1[[#This Row],[orcamento_aprovado]]-Tabela1[[#This Row],[custo_real_acumulado]]</f>
        <v>-19560.239999999991</v>
      </c>
      <c r="Q175" t="str">
        <f>IF(Tabela1[[#This Row],[data_fim_real]]="","",Tabela1[[#This Row],[data_fim_real]]-Tabela1[[#This Row],[data_inicio_real]])</f>
        <v/>
      </c>
    </row>
    <row r="176" spans="1:17" ht="16.5" x14ac:dyDescent="0.5">
      <c r="A176" t="s">
        <v>504</v>
      </c>
      <c r="B176" t="s">
        <v>505</v>
      </c>
      <c r="C176" t="s">
        <v>395</v>
      </c>
      <c r="D176" t="s">
        <v>54</v>
      </c>
      <c r="E176" t="s">
        <v>19</v>
      </c>
      <c r="F176" s="1">
        <v>46126</v>
      </c>
      <c r="G176" s="1">
        <v>46224</v>
      </c>
      <c r="H176" s="1">
        <v>46117</v>
      </c>
      <c r="I176" s="1"/>
      <c r="J176" s="2">
        <v>230168.2</v>
      </c>
      <c r="K176" s="2">
        <v>59373.96</v>
      </c>
      <c r="L176" s="2">
        <v>286074.13</v>
      </c>
      <c r="M176">
        <v>1262</v>
      </c>
      <c r="N176">
        <v>344</v>
      </c>
      <c r="O176" t="s">
        <v>21</v>
      </c>
      <c r="P176" s="2">
        <f>Tabela1[[#This Row],[orcamento_aprovado]]-Tabela1[[#This Row],[custo_real_acumulado]]</f>
        <v>170794.24000000002</v>
      </c>
      <c r="Q176" t="str">
        <f>IF(Tabela1[[#This Row],[data_fim_real]]="","",Tabela1[[#This Row],[data_fim_real]]-Tabela1[[#This Row],[data_inicio_real]])</f>
        <v/>
      </c>
    </row>
    <row r="177" spans="1:17" ht="16.5" x14ac:dyDescent="0.5">
      <c r="A177" t="s">
        <v>506</v>
      </c>
      <c r="B177" t="s">
        <v>507</v>
      </c>
      <c r="C177" t="s">
        <v>321</v>
      </c>
      <c r="D177" t="s">
        <v>71</v>
      </c>
      <c r="E177" t="s">
        <v>19</v>
      </c>
      <c r="F177" s="1">
        <v>46235</v>
      </c>
      <c r="G177" s="1">
        <v>46360</v>
      </c>
      <c r="H177" s="1">
        <v>46237</v>
      </c>
      <c r="I177" s="1"/>
      <c r="J177" s="2">
        <v>183378.05</v>
      </c>
      <c r="K177" s="2">
        <v>131643.29999999999</v>
      </c>
      <c r="L177" s="2">
        <v>391946.2</v>
      </c>
      <c r="M177">
        <v>3675</v>
      </c>
      <c r="N177">
        <v>2289</v>
      </c>
      <c r="O177" t="s">
        <v>26</v>
      </c>
      <c r="P177" s="2">
        <f>Tabela1[[#This Row],[orcamento_aprovado]]-Tabela1[[#This Row],[custo_real_acumulado]]</f>
        <v>51734.75</v>
      </c>
      <c r="Q177" t="str">
        <f>IF(Tabela1[[#This Row],[data_fim_real]]="","",Tabela1[[#This Row],[data_fim_real]]-Tabela1[[#This Row],[data_inicio_real]])</f>
        <v/>
      </c>
    </row>
    <row r="178" spans="1:17" ht="16.5" x14ac:dyDescent="0.5">
      <c r="A178" t="s">
        <v>508</v>
      </c>
      <c r="B178" t="s">
        <v>509</v>
      </c>
      <c r="C178" t="s">
        <v>205</v>
      </c>
      <c r="D178" t="s">
        <v>25</v>
      </c>
      <c r="E178" t="s">
        <v>20</v>
      </c>
      <c r="F178" s="1">
        <v>46378</v>
      </c>
      <c r="G178" s="1">
        <v>46387</v>
      </c>
      <c r="H178" s="1">
        <v>46372</v>
      </c>
      <c r="I178" s="1"/>
      <c r="J178" s="2">
        <v>50000</v>
      </c>
      <c r="K178" s="2">
        <v>28765.57</v>
      </c>
      <c r="L178" s="2">
        <v>90684.73</v>
      </c>
      <c r="M178">
        <v>330</v>
      </c>
      <c r="N178">
        <v>146</v>
      </c>
      <c r="O178" t="s">
        <v>34</v>
      </c>
      <c r="P178" s="2">
        <f>Tabela1[[#This Row],[orcamento_aprovado]]-Tabela1[[#This Row],[custo_real_acumulado]]</f>
        <v>21234.43</v>
      </c>
      <c r="Q178" t="str">
        <f>IF(Tabela1[[#This Row],[data_fim_real]]="","",Tabela1[[#This Row],[data_fim_real]]-Tabela1[[#This Row],[data_inicio_real]])</f>
        <v/>
      </c>
    </row>
    <row r="179" spans="1:17" ht="16.5" x14ac:dyDescent="0.5">
      <c r="A179" t="s">
        <v>510</v>
      </c>
      <c r="B179" t="s">
        <v>511</v>
      </c>
      <c r="C179" t="s">
        <v>512</v>
      </c>
      <c r="D179" t="s">
        <v>78</v>
      </c>
      <c r="E179" t="s">
        <v>19</v>
      </c>
      <c r="F179" s="1">
        <v>46176</v>
      </c>
      <c r="G179" s="1">
        <v>46228</v>
      </c>
      <c r="H179" s="1">
        <v>46191</v>
      </c>
      <c r="I179" s="1">
        <v>46243</v>
      </c>
      <c r="J179" s="2">
        <v>50000</v>
      </c>
      <c r="K179" s="2">
        <v>0</v>
      </c>
      <c r="L179" s="2">
        <v>21493.55</v>
      </c>
      <c r="M179">
        <v>1527</v>
      </c>
      <c r="N179">
        <v>0</v>
      </c>
      <c r="O179" t="s">
        <v>21</v>
      </c>
      <c r="P179" s="2">
        <f>Tabela1[[#This Row],[orcamento_aprovado]]-Tabela1[[#This Row],[custo_real_acumulado]]</f>
        <v>50000</v>
      </c>
      <c r="Q179">
        <f>IF(Tabela1[[#This Row],[data_fim_real]]="","",Tabela1[[#This Row],[data_fim_real]]-Tabela1[[#This Row],[data_inicio_real]])</f>
        <v>52</v>
      </c>
    </row>
    <row r="180" spans="1:17" ht="16.5" x14ac:dyDescent="0.5">
      <c r="A180" t="s">
        <v>513</v>
      </c>
      <c r="B180" t="s">
        <v>514</v>
      </c>
      <c r="C180" t="s">
        <v>474</v>
      </c>
      <c r="D180" t="s">
        <v>50</v>
      </c>
      <c r="E180" t="s">
        <v>20</v>
      </c>
      <c r="F180" s="1">
        <v>46037</v>
      </c>
      <c r="G180" s="1">
        <v>46117</v>
      </c>
      <c r="H180" s="1">
        <v>46045</v>
      </c>
      <c r="I180" s="1"/>
      <c r="J180" s="2">
        <v>314518.88</v>
      </c>
      <c r="K180" s="2">
        <v>239748.12</v>
      </c>
      <c r="L180" s="2">
        <v>543106.68000000005</v>
      </c>
      <c r="M180">
        <v>1513</v>
      </c>
      <c r="N180">
        <v>1250</v>
      </c>
      <c r="O180" t="s">
        <v>26</v>
      </c>
      <c r="P180" s="2">
        <f>Tabela1[[#This Row],[orcamento_aprovado]]-Tabela1[[#This Row],[custo_real_acumulado]]</f>
        <v>74770.760000000009</v>
      </c>
      <c r="Q180" t="str">
        <f>IF(Tabela1[[#This Row],[data_fim_real]]="","",Tabela1[[#This Row],[data_fim_real]]-Tabela1[[#This Row],[data_inicio_real]])</f>
        <v/>
      </c>
    </row>
    <row r="181" spans="1:17" ht="16.5" x14ac:dyDescent="0.5">
      <c r="A181" t="s">
        <v>515</v>
      </c>
      <c r="B181" t="s">
        <v>516</v>
      </c>
      <c r="C181" t="s">
        <v>157</v>
      </c>
      <c r="D181" t="s">
        <v>38</v>
      </c>
      <c r="E181" t="s">
        <v>19</v>
      </c>
      <c r="F181" s="1">
        <v>46265</v>
      </c>
      <c r="G181" s="1">
        <v>46331</v>
      </c>
      <c r="H181" s="1">
        <v>46259</v>
      </c>
      <c r="I181" s="1"/>
      <c r="J181" s="2">
        <v>225979.48</v>
      </c>
      <c r="K181" s="2">
        <v>165811.51</v>
      </c>
      <c r="L181" s="2">
        <v>238513.1</v>
      </c>
      <c r="M181">
        <v>1992</v>
      </c>
      <c r="N181">
        <v>1192</v>
      </c>
      <c r="O181" t="s">
        <v>34</v>
      </c>
      <c r="P181" s="2">
        <f>Tabela1[[#This Row],[orcamento_aprovado]]-Tabela1[[#This Row],[custo_real_acumulado]]</f>
        <v>60167.97</v>
      </c>
      <c r="Q181" t="str">
        <f>IF(Tabela1[[#This Row],[data_fim_real]]="","",Tabela1[[#This Row],[data_fim_real]]-Tabela1[[#This Row],[data_inicio_real]])</f>
        <v/>
      </c>
    </row>
    <row r="182" spans="1:17" ht="16.5" x14ac:dyDescent="0.5">
      <c r="A182" t="s">
        <v>517</v>
      </c>
      <c r="B182" t="s">
        <v>518</v>
      </c>
      <c r="C182" t="s">
        <v>519</v>
      </c>
      <c r="D182" t="s">
        <v>58</v>
      </c>
      <c r="E182" t="s">
        <v>43</v>
      </c>
      <c r="F182" s="1">
        <v>46033</v>
      </c>
      <c r="G182" s="1">
        <v>46088</v>
      </c>
      <c r="H182" s="1">
        <v>46033</v>
      </c>
      <c r="I182" s="1"/>
      <c r="J182" s="2">
        <v>288476.48</v>
      </c>
      <c r="K182" s="2">
        <v>304034.53999999998</v>
      </c>
      <c r="L182" s="2">
        <v>94825.19</v>
      </c>
      <c r="M182">
        <v>561</v>
      </c>
      <c r="N182">
        <v>628</v>
      </c>
      <c r="O182" t="s">
        <v>21</v>
      </c>
      <c r="P182" s="2">
        <f>Tabela1[[#This Row],[orcamento_aprovado]]-Tabela1[[#This Row],[custo_real_acumulado]]</f>
        <v>-15558.059999999998</v>
      </c>
      <c r="Q182" t="str">
        <f>IF(Tabela1[[#This Row],[data_fim_real]]="","",Tabela1[[#This Row],[data_fim_real]]-Tabela1[[#This Row],[data_inicio_real]])</f>
        <v/>
      </c>
    </row>
    <row r="183" spans="1:17" ht="16.5" x14ac:dyDescent="0.5">
      <c r="A183" t="s">
        <v>520</v>
      </c>
      <c r="B183" t="s">
        <v>521</v>
      </c>
      <c r="C183" t="s">
        <v>522</v>
      </c>
      <c r="D183" t="s">
        <v>38</v>
      </c>
      <c r="E183" t="s">
        <v>19</v>
      </c>
      <c r="F183" s="1">
        <v>46289</v>
      </c>
      <c r="G183" s="1">
        <v>46356</v>
      </c>
      <c r="H183" s="1">
        <v>46294</v>
      </c>
      <c r="I183" s="1"/>
      <c r="J183" s="2">
        <v>176271.22</v>
      </c>
      <c r="K183" s="2">
        <v>187894.99</v>
      </c>
      <c r="L183" s="2">
        <v>58037.35</v>
      </c>
      <c r="M183">
        <v>1232</v>
      </c>
      <c r="N183">
        <v>1251</v>
      </c>
      <c r="O183" t="s">
        <v>26</v>
      </c>
      <c r="P183" s="2">
        <f>Tabela1[[#This Row],[orcamento_aprovado]]-Tabela1[[#This Row],[custo_real_acumulado]]</f>
        <v>-11623.76999999999</v>
      </c>
      <c r="Q183" t="str">
        <f>IF(Tabela1[[#This Row],[data_fim_real]]="","",Tabela1[[#This Row],[data_fim_real]]-Tabela1[[#This Row],[data_inicio_real]])</f>
        <v/>
      </c>
    </row>
    <row r="184" spans="1:17" ht="16.5" x14ac:dyDescent="0.5">
      <c r="A184" t="s">
        <v>523</v>
      </c>
      <c r="B184" t="s">
        <v>524</v>
      </c>
      <c r="C184" t="s">
        <v>276</v>
      </c>
      <c r="D184" t="s">
        <v>18</v>
      </c>
      <c r="E184" t="s">
        <v>42</v>
      </c>
      <c r="F184" s="1">
        <v>46356</v>
      </c>
      <c r="G184" s="1">
        <v>46387</v>
      </c>
      <c r="H184" s="1">
        <v>46357</v>
      </c>
      <c r="I184" s="1">
        <v>46387</v>
      </c>
      <c r="J184" s="2">
        <v>73451.34</v>
      </c>
      <c r="K184" s="2">
        <v>89303.57</v>
      </c>
      <c r="L184" s="2">
        <v>82606.3</v>
      </c>
      <c r="M184">
        <v>1505</v>
      </c>
      <c r="N184">
        <v>1350</v>
      </c>
      <c r="O184" t="s">
        <v>34</v>
      </c>
      <c r="P184" s="2">
        <f>Tabela1[[#This Row],[orcamento_aprovado]]-Tabela1[[#This Row],[custo_real_acumulado]]</f>
        <v>-15852.23000000001</v>
      </c>
      <c r="Q184">
        <f>IF(Tabela1[[#This Row],[data_fim_real]]="","",Tabela1[[#This Row],[data_fim_real]]-Tabela1[[#This Row],[data_inicio_real]])</f>
        <v>30</v>
      </c>
    </row>
    <row r="185" spans="1:17" ht="16.5" x14ac:dyDescent="0.5">
      <c r="A185" t="s">
        <v>525</v>
      </c>
      <c r="B185" t="s">
        <v>526</v>
      </c>
      <c r="C185" t="s">
        <v>243</v>
      </c>
      <c r="D185" t="s">
        <v>78</v>
      </c>
      <c r="E185" t="s">
        <v>42</v>
      </c>
      <c r="F185" s="1">
        <v>46315</v>
      </c>
      <c r="G185" s="1">
        <v>46372</v>
      </c>
      <c r="H185" s="1">
        <v>46320</v>
      </c>
      <c r="I185" s="1"/>
      <c r="J185" s="2">
        <v>81836.100000000006</v>
      </c>
      <c r="K185" s="2">
        <v>33003.11</v>
      </c>
      <c r="L185" s="2">
        <v>57888.59</v>
      </c>
      <c r="M185">
        <v>1478</v>
      </c>
      <c r="N185">
        <v>790</v>
      </c>
      <c r="O185" t="s">
        <v>21</v>
      </c>
      <c r="P185" s="2">
        <f>Tabela1[[#This Row],[orcamento_aprovado]]-Tabela1[[#This Row],[custo_real_acumulado]]</f>
        <v>48832.990000000005</v>
      </c>
      <c r="Q185" t="str">
        <f>IF(Tabela1[[#This Row],[data_fim_real]]="","",Tabela1[[#This Row],[data_fim_real]]-Tabela1[[#This Row],[data_inicio_real]])</f>
        <v/>
      </c>
    </row>
    <row r="186" spans="1:17" ht="16.5" x14ac:dyDescent="0.5">
      <c r="A186" t="s">
        <v>527</v>
      </c>
      <c r="B186" t="s">
        <v>528</v>
      </c>
      <c r="C186" t="s">
        <v>109</v>
      </c>
      <c r="D186" t="s">
        <v>78</v>
      </c>
      <c r="E186" t="s">
        <v>43</v>
      </c>
      <c r="F186" s="1">
        <v>46371</v>
      </c>
      <c r="G186" s="1">
        <v>46387</v>
      </c>
      <c r="H186" s="1">
        <v>46378</v>
      </c>
      <c r="I186" s="1"/>
      <c r="J186" s="2">
        <v>116473.59</v>
      </c>
      <c r="K186" s="2">
        <v>18861.599999999999</v>
      </c>
      <c r="L186" s="2">
        <v>150338.65</v>
      </c>
      <c r="M186">
        <v>432</v>
      </c>
      <c r="N186">
        <v>77</v>
      </c>
      <c r="O186" t="s">
        <v>26</v>
      </c>
      <c r="P186" s="2">
        <f>Tabela1[[#This Row],[orcamento_aprovado]]-Tabela1[[#This Row],[custo_real_acumulado]]</f>
        <v>97611.989999999991</v>
      </c>
      <c r="Q186" t="str">
        <f>IF(Tabela1[[#This Row],[data_fim_real]]="","",Tabela1[[#This Row],[data_fim_real]]-Tabela1[[#This Row],[data_inicio_real]])</f>
        <v/>
      </c>
    </row>
    <row r="187" spans="1:17" ht="16.5" x14ac:dyDescent="0.5">
      <c r="A187" t="s">
        <v>529</v>
      </c>
      <c r="B187" t="s">
        <v>530</v>
      </c>
      <c r="C187" t="s">
        <v>492</v>
      </c>
      <c r="D187" t="s">
        <v>71</v>
      </c>
      <c r="E187" t="s">
        <v>19</v>
      </c>
      <c r="F187" s="1">
        <v>46122</v>
      </c>
      <c r="G187" s="1">
        <v>46271</v>
      </c>
      <c r="H187" s="1">
        <v>46118</v>
      </c>
      <c r="I187" s="1">
        <v>46290</v>
      </c>
      <c r="J187" s="2">
        <v>50000</v>
      </c>
      <c r="K187" s="2">
        <v>51052.03</v>
      </c>
      <c r="L187" s="2">
        <v>57041.82</v>
      </c>
      <c r="M187">
        <v>5709</v>
      </c>
      <c r="N187">
        <v>4617</v>
      </c>
      <c r="O187" t="s">
        <v>34</v>
      </c>
      <c r="P187" s="2">
        <f>Tabela1[[#This Row],[orcamento_aprovado]]-Tabela1[[#This Row],[custo_real_acumulado]]</f>
        <v>-1052.0299999999988</v>
      </c>
      <c r="Q187">
        <f>IF(Tabela1[[#This Row],[data_fim_real]]="","",Tabela1[[#This Row],[data_fim_real]]-Tabela1[[#This Row],[data_inicio_real]])</f>
        <v>172</v>
      </c>
    </row>
    <row r="188" spans="1:17" ht="16.5" x14ac:dyDescent="0.5">
      <c r="A188" t="s">
        <v>531</v>
      </c>
      <c r="B188" t="s">
        <v>532</v>
      </c>
      <c r="C188" t="s">
        <v>227</v>
      </c>
      <c r="D188" t="s">
        <v>33</v>
      </c>
      <c r="E188" t="s">
        <v>19</v>
      </c>
      <c r="F188" s="1">
        <v>46347</v>
      </c>
      <c r="G188" s="1">
        <v>46387</v>
      </c>
      <c r="H188" s="1">
        <v>46331</v>
      </c>
      <c r="I188" s="1"/>
      <c r="J188" s="2">
        <v>56852.63</v>
      </c>
      <c r="K188" s="2">
        <v>40950.839999999997</v>
      </c>
      <c r="L188" s="2">
        <v>99630.67</v>
      </c>
      <c r="M188">
        <v>823</v>
      </c>
      <c r="N188">
        <v>547</v>
      </c>
      <c r="O188" t="s">
        <v>21</v>
      </c>
      <c r="P188" s="2">
        <f>Tabela1[[#This Row],[orcamento_aprovado]]-Tabela1[[#This Row],[custo_real_acumulado]]</f>
        <v>15901.79</v>
      </c>
      <c r="Q188" t="str">
        <f>IF(Tabela1[[#This Row],[data_fim_real]]="","",Tabela1[[#This Row],[data_fim_real]]-Tabela1[[#This Row],[data_inicio_real]])</f>
        <v/>
      </c>
    </row>
    <row r="189" spans="1:17" ht="16.5" x14ac:dyDescent="0.5">
      <c r="A189" t="s">
        <v>533</v>
      </c>
      <c r="B189" t="s">
        <v>534</v>
      </c>
      <c r="C189" t="s">
        <v>522</v>
      </c>
      <c r="D189" t="s">
        <v>38</v>
      </c>
      <c r="E189" t="s">
        <v>42</v>
      </c>
      <c r="F189" s="1">
        <v>46214</v>
      </c>
      <c r="G189" s="1">
        <v>46264</v>
      </c>
      <c r="H189" s="1"/>
      <c r="I189" s="1"/>
      <c r="J189" s="2">
        <v>128538.48</v>
      </c>
      <c r="K189" s="2">
        <v>0</v>
      </c>
      <c r="L189" s="2">
        <v>114223.54</v>
      </c>
      <c r="M189">
        <v>1460</v>
      </c>
      <c r="N189">
        <v>0</v>
      </c>
      <c r="O189" t="s">
        <v>26</v>
      </c>
      <c r="P189" s="2">
        <f>Tabela1[[#This Row],[orcamento_aprovado]]-Tabela1[[#This Row],[custo_real_acumulado]]</f>
        <v>128538.48</v>
      </c>
      <c r="Q189" t="str">
        <f>IF(Tabela1[[#This Row],[data_fim_real]]="","",Tabela1[[#This Row],[data_fim_real]]-Tabela1[[#This Row],[data_inicio_real]])</f>
        <v/>
      </c>
    </row>
    <row r="190" spans="1:17" ht="16.5" x14ac:dyDescent="0.5">
      <c r="A190" t="s">
        <v>535</v>
      </c>
      <c r="B190" t="s">
        <v>536</v>
      </c>
      <c r="C190" t="s">
        <v>419</v>
      </c>
      <c r="D190" t="s">
        <v>50</v>
      </c>
      <c r="E190" t="s">
        <v>20</v>
      </c>
      <c r="F190" s="1">
        <v>46289</v>
      </c>
      <c r="G190" s="1">
        <v>46383</v>
      </c>
      <c r="H190" s="1">
        <v>46289</v>
      </c>
      <c r="I190" s="1"/>
      <c r="J190" s="2">
        <v>128322.72</v>
      </c>
      <c r="K190" s="2">
        <v>64905.98</v>
      </c>
      <c r="L190" s="2">
        <v>267954.46000000002</v>
      </c>
      <c r="M190">
        <v>4713</v>
      </c>
      <c r="N190">
        <v>2749</v>
      </c>
      <c r="O190" t="s">
        <v>34</v>
      </c>
      <c r="P190" s="2">
        <f>Tabela1[[#This Row],[orcamento_aprovado]]-Tabela1[[#This Row],[custo_real_acumulado]]</f>
        <v>63416.74</v>
      </c>
      <c r="Q190" t="str">
        <f>IF(Tabela1[[#This Row],[data_fim_real]]="","",Tabela1[[#This Row],[data_fim_real]]-Tabela1[[#This Row],[data_inicio_real]])</f>
        <v/>
      </c>
    </row>
    <row r="191" spans="1:17" ht="16.5" x14ac:dyDescent="0.5">
      <c r="A191" t="s">
        <v>537</v>
      </c>
      <c r="B191" t="s">
        <v>538</v>
      </c>
      <c r="C191" t="s">
        <v>486</v>
      </c>
      <c r="D191" t="s">
        <v>58</v>
      </c>
      <c r="E191" t="s">
        <v>19</v>
      </c>
      <c r="F191" s="1">
        <v>46109</v>
      </c>
      <c r="G191" s="1">
        <v>46170</v>
      </c>
      <c r="H191" s="1">
        <v>46127</v>
      </c>
      <c r="I191" s="1"/>
      <c r="J191" s="2">
        <v>131559.71</v>
      </c>
      <c r="K191" s="2">
        <v>24422.82</v>
      </c>
      <c r="L191" s="2">
        <v>96859.06</v>
      </c>
      <c r="M191">
        <v>515</v>
      </c>
      <c r="N191">
        <v>101</v>
      </c>
      <c r="O191" t="s">
        <v>21</v>
      </c>
      <c r="P191" s="2">
        <f>Tabela1[[#This Row],[orcamento_aprovado]]-Tabela1[[#This Row],[custo_real_acumulado]]</f>
        <v>107136.88999999998</v>
      </c>
      <c r="Q191" t="str">
        <f>IF(Tabela1[[#This Row],[data_fim_real]]="","",Tabela1[[#This Row],[data_fim_real]]-Tabela1[[#This Row],[data_inicio_real]])</f>
        <v/>
      </c>
    </row>
    <row r="192" spans="1:17" ht="16.5" x14ac:dyDescent="0.5">
      <c r="A192" t="s">
        <v>539</v>
      </c>
      <c r="B192" t="s">
        <v>540</v>
      </c>
      <c r="C192" t="s">
        <v>138</v>
      </c>
      <c r="D192" t="s">
        <v>18</v>
      </c>
      <c r="E192" t="s">
        <v>43</v>
      </c>
      <c r="F192" s="1">
        <v>46128</v>
      </c>
      <c r="G192" s="1">
        <v>46287</v>
      </c>
      <c r="H192" s="1">
        <v>46135</v>
      </c>
      <c r="I192" s="1"/>
      <c r="J192" s="2">
        <v>62829.55</v>
      </c>
      <c r="K192" s="2">
        <v>11784.58</v>
      </c>
      <c r="L192" s="2">
        <v>92420.44</v>
      </c>
      <c r="M192">
        <v>5859</v>
      </c>
      <c r="N192">
        <v>1018</v>
      </c>
      <c r="O192" t="s">
        <v>26</v>
      </c>
      <c r="P192" s="2">
        <f>Tabela1[[#This Row],[orcamento_aprovado]]-Tabela1[[#This Row],[custo_real_acumulado]]</f>
        <v>51044.97</v>
      </c>
      <c r="Q192" t="str">
        <f>IF(Tabela1[[#This Row],[data_fim_real]]="","",Tabela1[[#This Row],[data_fim_real]]-Tabela1[[#This Row],[data_inicio_real]])</f>
        <v/>
      </c>
    </row>
    <row r="193" spans="1:17" ht="16.5" x14ac:dyDescent="0.5">
      <c r="A193" t="s">
        <v>541</v>
      </c>
      <c r="B193" t="s">
        <v>542</v>
      </c>
      <c r="C193" t="s">
        <v>543</v>
      </c>
      <c r="D193" t="s">
        <v>25</v>
      </c>
      <c r="E193" t="s">
        <v>43</v>
      </c>
      <c r="F193" s="1">
        <v>46157</v>
      </c>
      <c r="G193" s="1">
        <v>46171</v>
      </c>
      <c r="H193" s="1">
        <v>46160</v>
      </c>
      <c r="I193" s="1"/>
      <c r="J193" s="2">
        <v>206781.12</v>
      </c>
      <c r="K193" s="2">
        <v>127489.03</v>
      </c>
      <c r="L193" s="2">
        <v>299979.84999999998</v>
      </c>
      <c r="M193">
        <v>218</v>
      </c>
      <c r="N193">
        <v>111</v>
      </c>
      <c r="O193" t="s">
        <v>34</v>
      </c>
      <c r="P193" s="2">
        <f>Tabela1[[#This Row],[orcamento_aprovado]]-Tabela1[[#This Row],[custo_real_acumulado]]</f>
        <v>79292.09</v>
      </c>
      <c r="Q193" t="str">
        <f>IF(Tabela1[[#This Row],[data_fim_real]]="","",Tabela1[[#This Row],[data_fim_real]]-Tabela1[[#This Row],[data_inicio_real]])</f>
        <v/>
      </c>
    </row>
    <row r="194" spans="1:17" ht="16.5" x14ac:dyDescent="0.5">
      <c r="A194" t="s">
        <v>544</v>
      </c>
      <c r="B194" t="s">
        <v>545</v>
      </c>
      <c r="C194" t="s">
        <v>546</v>
      </c>
      <c r="D194" t="s">
        <v>142</v>
      </c>
      <c r="E194" t="s">
        <v>42</v>
      </c>
      <c r="F194" s="1">
        <v>46284</v>
      </c>
      <c r="G194" s="1">
        <v>46298</v>
      </c>
      <c r="H194" s="1">
        <v>46289</v>
      </c>
      <c r="I194" s="1"/>
      <c r="J194" s="2">
        <v>53530.48</v>
      </c>
      <c r="K194" s="2">
        <v>33928.69</v>
      </c>
      <c r="L194" s="2">
        <v>86098.43</v>
      </c>
      <c r="M194">
        <v>470</v>
      </c>
      <c r="N194">
        <v>317</v>
      </c>
      <c r="O194" t="s">
        <v>21</v>
      </c>
      <c r="P194" s="2">
        <f>Tabela1[[#This Row],[orcamento_aprovado]]-Tabela1[[#This Row],[custo_real_acumulado]]</f>
        <v>19601.79</v>
      </c>
      <c r="Q194" t="str">
        <f>IF(Tabela1[[#This Row],[data_fim_real]]="","",Tabela1[[#This Row],[data_fim_real]]-Tabela1[[#This Row],[data_inicio_real]])</f>
        <v/>
      </c>
    </row>
    <row r="195" spans="1:17" ht="16.5" x14ac:dyDescent="0.5">
      <c r="A195" t="s">
        <v>547</v>
      </c>
      <c r="B195" t="s">
        <v>548</v>
      </c>
      <c r="C195" t="s">
        <v>227</v>
      </c>
      <c r="D195" t="s">
        <v>78</v>
      </c>
      <c r="E195" t="s">
        <v>19</v>
      </c>
      <c r="F195" s="1">
        <v>46027</v>
      </c>
      <c r="G195" s="1">
        <v>46098</v>
      </c>
      <c r="H195" s="1">
        <v>46040</v>
      </c>
      <c r="I195" s="1"/>
      <c r="J195" s="2">
        <v>56468.800000000003</v>
      </c>
      <c r="K195" s="2">
        <v>26321.65</v>
      </c>
      <c r="L195" s="2">
        <v>24126.29</v>
      </c>
      <c r="M195">
        <v>2060</v>
      </c>
      <c r="N195">
        <v>947</v>
      </c>
      <c r="O195" t="s">
        <v>26</v>
      </c>
      <c r="P195" s="2">
        <f>Tabela1[[#This Row],[orcamento_aprovado]]-Tabela1[[#This Row],[custo_real_acumulado]]</f>
        <v>30147.15</v>
      </c>
      <c r="Q195" t="str">
        <f>IF(Tabela1[[#This Row],[data_fim_real]]="","",Tabela1[[#This Row],[data_fim_real]]-Tabela1[[#This Row],[data_inicio_real]])</f>
        <v/>
      </c>
    </row>
    <row r="196" spans="1:17" ht="16.5" x14ac:dyDescent="0.5">
      <c r="A196" t="s">
        <v>549</v>
      </c>
      <c r="B196" t="s">
        <v>550</v>
      </c>
      <c r="C196" t="s">
        <v>389</v>
      </c>
      <c r="D196" t="s">
        <v>71</v>
      </c>
      <c r="E196" t="s">
        <v>19</v>
      </c>
      <c r="F196" s="1">
        <v>46108</v>
      </c>
      <c r="G196" s="1">
        <v>46122</v>
      </c>
      <c r="H196" s="1">
        <v>46117</v>
      </c>
      <c r="I196" s="1"/>
      <c r="J196" s="2">
        <v>50000</v>
      </c>
      <c r="K196" s="2">
        <v>19480.759999999998</v>
      </c>
      <c r="L196" s="2">
        <v>50109.55</v>
      </c>
      <c r="M196">
        <v>221</v>
      </c>
      <c r="N196">
        <v>69</v>
      </c>
      <c r="O196" t="s">
        <v>34</v>
      </c>
      <c r="P196" s="2">
        <f>Tabela1[[#This Row],[orcamento_aprovado]]-Tabela1[[#This Row],[custo_real_acumulado]]</f>
        <v>30519.24</v>
      </c>
      <c r="Q196" t="str">
        <f>IF(Tabela1[[#This Row],[data_fim_real]]="","",Tabela1[[#This Row],[data_fim_real]]-Tabela1[[#This Row],[data_inicio_real]])</f>
        <v/>
      </c>
    </row>
    <row r="197" spans="1:17" ht="16.5" x14ac:dyDescent="0.5">
      <c r="A197" t="s">
        <v>551</v>
      </c>
      <c r="B197" t="s">
        <v>552</v>
      </c>
      <c r="C197" t="s">
        <v>53</v>
      </c>
      <c r="D197" t="s">
        <v>25</v>
      </c>
      <c r="E197" t="s">
        <v>19</v>
      </c>
      <c r="F197" s="1">
        <v>46272</v>
      </c>
      <c r="G197" s="1">
        <v>46367</v>
      </c>
      <c r="H197" s="1">
        <v>46281</v>
      </c>
      <c r="I197" s="1"/>
      <c r="J197" s="2">
        <v>105408.28</v>
      </c>
      <c r="K197" s="2">
        <v>32007.08</v>
      </c>
      <c r="L197" s="2">
        <v>182179.16</v>
      </c>
      <c r="M197">
        <v>5389</v>
      </c>
      <c r="N197">
        <v>1403</v>
      </c>
      <c r="O197" t="s">
        <v>21</v>
      </c>
      <c r="P197" s="2">
        <f>Tabela1[[#This Row],[orcamento_aprovado]]-Tabela1[[#This Row],[custo_real_acumulado]]</f>
        <v>73401.2</v>
      </c>
      <c r="Q197" t="str">
        <f>IF(Tabela1[[#This Row],[data_fim_real]]="","",Tabela1[[#This Row],[data_fim_real]]-Tabela1[[#This Row],[data_inicio_real]])</f>
        <v/>
      </c>
    </row>
    <row r="198" spans="1:17" ht="16.5" x14ac:dyDescent="0.5">
      <c r="A198" t="s">
        <v>553</v>
      </c>
      <c r="B198" t="s">
        <v>554</v>
      </c>
      <c r="C198" t="s">
        <v>555</v>
      </c>
      <c r="D198" t="s">
        <v>18</v>
      </c>
      <c r="E198" t="s">
        <v>19</v>
      </c>
      <c r="F198" s="1">
        <v>46220</v>
      </c>
      <c r="G198" s="1">
        <v>46300</v>
      </c>
      <c r="H198" s="1">
        <v>46221</v>
      </c>
      <c r="I198" s="1"/>
      <c r="J198" s="2">
        <v>117524.01</v>
      </c>
      <c r="K198" s="2">
        <v>85404.26</v>
      </c>
      <c r="L198" s="2">
        <v>181322.18</v>
      </c>
      <c r="M198">
        <v>1590</v>
      </c>
      <c r="N198">
        <v>882</v>
      </c>
      <c r="O198" t="s">
        <v>26</v>
      </c>
      <c r="P198" s="2">
        <f>Tabela1[[#This Row],[orcamento_aprovado]]-Tabela1[[#This Row],[custo_real_acumulado]]</f>
        <v>32119.75</v>
      </c>
      <c r="Q198" t="str">
        <f>IF(Tabela1[[#This Row],[data_fim_real]]="","",Tabela1[[#This Row],[data_fim_real]]-Tabela1[[#This Row],[data_inicio_real]])</f>
        <v/>
      </c>
    </row>
    <row r="199" spans="1:17" ht="16.5" x14ac:dyDescent="0.5">
      <c r="A199" t="s">
        <v>556</v>
      </c>
      <c r="B199" t="s">
        <v>557</v>
      </c>
      <c r="C199" t="s">
        <v>486</v>
      </c>
      <c r="D199" t="s">
        <v>58</v>
      </c>
      <c r="E199" t="s">
        <v>42</v>
      </c>
      <c r="F199" s="1">
        <v>46229</v>
      </c>
      <c r="G199" s="1">
        <v>46265</v>
      </c>
      <c r="H199" s="1">
        <v>46225</v>
      </c>
      <c r="I199" s="1"/>
      <c r="J199" s="2">
        <v>50000</v>
      </c>
      <c r="K199" s="2">
        <v>27295.55</v>
      </c>
      <c r="L199" s="2">
        <v>32852.44</v>
      </c>
      <c r="M199">
        <v>1760</v>
      </c>
      <c r="N199">
        <v>720</v>
      </c>
      <c r="O199" t="s">
        <v>34</v>
      </c>
      <c r="P199" s="2">
        <f>Tabela1[[#This Row],[orcamento_aprovado]]-Tabela1[[#This Row],[custo_real_acumulado]]</f>
        <v>22704.45</v>
      </c>
      <c r="Q199" t="str">
        <f>IF(Tabela1[[#This Row],[data_fim_real]]="","",Tabela1[[#This Row],[data_fim_real]]-Tabela1[[#This Row],[data_inicio_real]])</f>
        <v/>
      </c>
    </row>
    <row r="200" spans="1:17" ht="16.5" x14ac:dyDescent="0.5">
      <c r="A200" t="s">
        <v>558</v>
      </c>
      <c r="B200" t="s">
        <v>559</v>
      </c>
      <c r="C200" t="s">
        <v>185</v>
      </c>
      <c r="D200" t="s">
        <v>38</v>
      </c>
      <c r="E200" t="s">
        <v>20</v>
      </c>
      <c r="F200" s="1">
        <v>46349</v>
      </c>
      <c r="G200" s="1">
        <v>46385</v>
      </c>
      <c r="H200" s="1">
        <v>46360</v>
      </c>
      <c r="I200" s="1">
        <v>46387</v>
      </c>
      <c r="J200" s="2">
        <v>153675.88</v>
      </c>
      <c r="K200" s="2">
        <v>150572.35</v>
      </c>
      <c r="L200" s="2">
        <v>124795.96</v>
      </c>
      <c r="M200">
        <v>1453</v>
      </c>
      <c r="N200">
        <v>1636</v>
      </c>
      <c r="O200" t="s">
        <v>21</v>
      </c>
      <c r="P200" s="2">
        <f>Tabela1[[#This Row],[orcamento_aprovado]]-Tabela1[[#This Row],[custo_real_acumulado]]</f>
        <v>3103.5299999999988</v>
      </c>
      <c r="Q200">
        <f>IF(Tabela1[[#This Row],[data_fim_real]]="","",Tabela1[[#This Row],[data_fim_real]]-Tabela1[[#This Row],[data_inicio_real]])</f>
        <v>27</v>
      </c>
    </row>
    <row r="201" spans="1:17" ht="16.5" x14ac:dyDescent="0.5">
      <c r="A201" t="s">
        <v>560</v>
      </c>
      <c r="B201" t="s">
        <v>561</v>
      </c>
      <c r="C201" t="s">
        <v>419</v>
      </c>
      <c r="D201" t="s">
        <v>25</v>
      </c>
      <c r="E201" t="s">
        <v>19</v>
      </c>
      <c r="F201" s="1">
        <v>46136</v>
      </c>
      <c r="G201" s="1">
        <v>46235</v>
      </c>
      <c r="H201" s="1">
        <v>46146</v>
      </c>
      <c r="I201" s="1"/>
      <c r="J201" s="2">
        <v>311074.58</v>
      </c>
      <c r="K201" s="2">
        <v>98645.15</v>
      </c>
      <c r="L201" s="2">
        <v>246742.88</v>
      </c>
      <c r="M201">
        <v>5142</v>
      </c>
      <c r="N201">
        <v>1841</v>
      </c>
      <c r="O201" t="s">
        <v>26</v>
      </c>
      <c r="P201" s="2">
        <f>Tabela1[[#This Row],[orcamento_aprovado]]-Tabela1[[#This Row],[custo_real_acumulado]]</f>
        <v>212429.43000000002</v>
      </c>
      <c r="Q201" t="str">
        <f>IF(Tabela1[[#This Row],[data_fim_real]]="","",Tabela1[[#This Row],[data_fim_real]]-Tabela1[[#This Row],[data_inicio_real]])</f>
        <v/>
      </c>
    </row>
    <row r="202" spans="1:17" ht="16.5" x14ac:dyDescent="0.5">
      <c r="A202" t="s">
        <v>562</v>
      </c>
      <c r="B202" t="s">
        <v>563</v>
      </c>
      <c r="C202" t="s">
        <v>564</v>
      </c>
      <c r="D202" t="s">
        <v>78</v>
      </c>
      <c r="E202" t="s">
        <v>20</v>
      </c>
      <c r="F202" s="1">
        <v>46196</v>
      </c>
      <c r="G202" s="1">
        <v>46294</v>
      </c>
      <c r="H202" s="1">
        <v>46196</v>
      </c>
      <c r="I202" s="1"/>
      <c r="J202" s="2">
        <v>165330.64000000001</v>
      </c>
      <c r="K202" s="2">
        <v>76827.960000000006</v>
      </c>
      <c r="L202" s="2">
        <v>79415.59</v>
      </c>
      <c r="M202">
        <v>1416</v>
      </c>
      <c r="N202">
        <v>493</v>
      </c>
      <c r="O202" t="s">
        <v>34</v>
      </c>
      <c r="P202" s="2">
        <f>Tabela1[[#This Row],[orcamento_aprovado]]-Tabela1[[#This Row],[custo_real_acumulado]]</f>
        <v>88502.680000000008</v>
      </c>
      <c r="Q202" t="str">
        <f>IF(Tabela1[[#This Row],[data_fim_real]]="","",Tabela1[[#This Row],[data_fim_real]]-Tabela1[[#This Row],[data_inicio_real]])</f>
        <v/>
      </c>
    </row>
    <row r="203" spans="1:17" ht="16.5" x14ac:dyDescent="0.5">
      <c r="A203" t="s">
        <v>565</v>
      </c>
      <c r="B203" t="s">
        <v>566</v>
      </c>
      <c r="C203" t="s">
        <v>86</v>
      </c>
      <c r="D203" t="s">
        <v>50</v>
      </c>
      <c r="E203" t="s">
        <v>19</v>
      </c>
      <c r="F203" s="1">
        <v>46319</v>
      </c>
      <c r="G203" s="1">
        <v>46387</v>
      </c>
      <c r="H203" s="1">
        <v>46317</v>
      </c>
      <c r="I203" s="1"/>
      <c r="J203" s="2">
        <v>164789.94</v>
      </c>
      <c r="K203" s="2">
        <v>9160.15</v>
      </c>
      <c r="L203" s="2">
        <v>53939.83</v>
      </c>
      <c r="M203">
        <v>2849</v>
      </c>
      <c r="N203">
        <v>150</v>
      </c>
      <c r="O203" t="s">
        <v>21</v>
      </c>
      <c r="P203" s="2">
        <f>Tabela1[[#This Row],[orcamento_aprovado]]-Tabela1[[#This Row],[custo_real_acumulado]]</f>
        <v>155629.79</v>
      </c>
      <c r="Q203" t="str">
        <f>IF(Tabela1[[#This Row],[data_fim_real]]="","",Tabela1[[#This Row],[data_fim_real]]-Tabela1[[#This Row],[data_inicio_real]])</f>
        <v/>
      </c>
    </row>
    <row r="204" spans="1:17" ht="16.5" x14ac:dyDescent="0.5">
      <c r="A204" t="s">
        <v>567</v>
      </c>
      <c r="B204" t="s">
        <v>568</v>
      </c>
      <c r="C204" t="s">
        <v>252</v>
      </c>
      <c r="D204" t="s">
        <v>38</v>
      </c>
      <c r="E204" t="s">
        <v>42</v>
      </c>
      <c r="F204" s="1">
        <v>46285</v>
      </c>
      <c r="G204" s="1">
        <v>46368</v>
      </c>
      <c r="H204" s="1">
        <v>46298</v>
      </c>
      <c r="I204" s="1"/>
      <c r="J204" s="2">
        <v>100621.62</v>
      </c>
      <c r="K204" s="2">
        <v>67271.73</v>
      </c>
      <c r="L204" s="2">
        <v>165427.41</v>
      </c>
      <c r="M204">
        <v>3188</v>
      </c>
      <c r="N204">
        <v>2205</v>
      </c>
      <c r="O204" t="s">
        <v>26</v>
      </c>
      <c r="P204" s="2">
        <f>Tabela1[[#This Row],[orcamento_aprovado]]-Tabela1[[#This Row],[custo_real_acumulado]]</f>
        <v>33349.89</v>
      </c>
      <c r="Q204" t="str">
        <f>IF(Tabela1[[#This Row],[data_fim_real]]="","",Tabela1[[#This Row],[data_fim_real]]-Tabela1[[#This Row],[data_inicio_real]])</f>
        <v/>
      </c>
    </row>
    <row r="205" spans="1:17" ht="16.5" x14ac:dyDescent="0.5">
      <c r="A205" t="s">
        <v>569</v>
      </c>
      <c r="B205" t="s">
        <v>570</v>
      </c>
      <c r="C205" t="s">
        <v>571</v>
      </c>
      <c r="D205" t="s">
        <v>50</v>
      </c>
      <c r="E205" t="s">
        <v>19</v>
      </c>
      <c r="F205" s="1">
        <v>46364</v>
      </c>
      <c r="G205" s="1">
        <v>46387</v>
      </c>
      <c r="H205" s="1">
        <v>46372</v>
      </c>
      <c r="I205" s="1"/>
      <c r="J205" s="2">
        <v>354299.62</v>
      </c>
      <c r="K205" s="2">
        <v>206839.15</v>
      </c>
      <c r="L205" s="2">
        <v>560535.29</v>
      </c>
      <c r="M205">
        <v>1023</v>
      </c>
      <c r="N205">
        <v>624</v>
      </c>
      <c r="O205" t="s">
        <v>34</v>
      </c>
      <c r="P205" s="2">
        <f>Tabela1[[#This Row],[orcamento_aprovado]]-Tabela1[[#This Row],[custo_real_acumulado]]</f>
        <v>147460.47</v>
      </c>
      <c r="Q205" t="str">
        <f>IF(Tabela1[[#This Row],[data_fim_real]]="","",Tabela1[[#This Row],[data_fim_real]]-Tabela1[[#This Row],[data_inicio_real]])</f>
        <v/>
      </c>
    </row>
    <row r="206" spans="1:17" ht="16.5" x14ac:dyDescent="0.5">
      <c r="A206" t="s">
        <v>572</v>
      </c>
      <c r="B206" t="s">
        <v>573</v>
      </c>
      <c r="C206" t="s">
        <v>409</v>
      </c>
      <c r="D206" t="s">
        <v>58</v>
      </c>
      <c r="E206" t="s">
        <v>19</v>
      </c>
      <c r="F206" s="1">
        <v>46054</v>
      </c>
      <c r="G206" s="1">
        <v>46143</v>
      </c>
      <c r="H206" s="1">
        <v>46047</v>
      </c>
      <c r="I206" s="1"/>
      <c r="J206" s="2">
        <v>133091.82999999999</v>
      </c>
      <c r="K206" s="2">
        <v>36160.17</v>
      </c>
      <c r="L206" s="2">
        <v>208787.16</v>
      </c>
      <c r="M206">
        <v>4502</v>
      </c>
      <c r="N206">
        <v>1227</v>
      </c>
      <c r="O206" t="s">
        <v>21</v>
      </c>
      <c r="P206" s="2">
        <f>Tabela1[[#This Row],[orcamento_aprovado]]-Tabela1[[#This Row],[custo_real_acumulado]]</f>
        <v>96931.659999999989</v>
      </c>
      <c r="Q206" t="str">
        <f>IF(Tabela1[[#This Row],[data_fim_real]]="","",Tabela1[[#This Row],[data_fim_real]]-Tabela1[[#This Row],[data_inicio_real]])</f>
        <v/>
      </c>
    </row>
    <row r="207" spans="1:17" ht="16.5" x14ac:dyDescent="0.5">
      <c r="A207" t="s">
        <v>574</v>
      </c>
      <c r="B207" t="s">
        <v>575</v>
      </c>
      <c r="C207" t="s">
        <v>483</v>
      </c>
      <c r="D207" t="s">
        <v>78</v>
      </c>
      <c r="E207" t="s">
        <v>42</v>
      </c>
      <c r="F207" s="1">
        <v>46305</v>
      </c>
      <c r="G207" s="1">
        <v>46345</v>
      </c>
      <c r="H207" s="1">
        <v>46335</v>
      </c>
      <c r="I207" s="1">
        <v>46359</v>
      </c>
      <c r="J207" s="2">
        <v>76877.289999999994</v>
      </c>
      <c r="K207" s="2">
        <v>82953.89</v>
      </c>
      <c r="L207" s="2">
        <v>63525.53</v>
      </c>
      <c r="M207">
        <v>1210</v>
      </c>
      <c r="N207">
        <v>1394</v>
      </c>
      <c r="O207" t="s">
        <v>26</v>
      </c>
      <c r="P207" s="2">
        <f>Tabela1[[#This Row],[orcamento_aprovado]]-Tabela1[[#This Row],[custo_real_acumulado]]</f>
        <v>-6076.6000000000058</v>
      </c>
      <c r="Q207">
        <f>IF(Tabela1[[#This Row],[data_fim_real]]="","",Tabela1[[#This Row],[data_fim_real]]-Tabela1[[#This Row],[data_inicio_real]])</f>
        <v>24</v>
      </c>
    </row>
    <row r="208" spans="1:17" ht="16.5" x14ac:dyDescent="0.5">
      <c r="A208" t="s">
        <v>576</v>
      </c>
      <c r="B208" t="s">
        <v>577</v>
      </c>
      <c r="C208" t="s">
        <v>578</v>
      </c>
      <c r="D208" t="s">
        <v>58</v>
      </c>
      <c r="E208" t="s">
        <v>43</v>
      </c>
      <c r="F208" s="1">
        <v>46286</v>
      </c>
      <c r="G208" s="1">
        <v>46372</v>
      </c>
      <c r="H208" s="1"/>
      <c r="I208" s="1"/>
      <c r="J208" s="2">
        <v>187089.62</v>
      </c>
      <c r="K208" s="2">
        <v>0</v>
      </c>
      <c r="L208" s="2">
        <v>362896.61</v>
      </c>
      <c r="M208">
        <v>2345</v>
      </c>
      <c r="N208">
        <v>0</v>
      </c>
      <c r="O208" t="s">
        <v>34</v>
      </c>
      <c r="P208" s="2">
        <f>Tabela1[[#This Row],[orcamento_aprovado]]-Tabela1[[#This Row],[custo_real_acumulado]]</f>
        <v>187089.62</v>
      </c>
      <c r="Q208" t="str">
        <f>IF(Tabela1[[#This Row],[data_fim_real]]="","",Tabela1[[#This Row],[data_fim_real]]-Tabela1[[#This Row],[data_inicio_real]])</f>
        <v/>
      </c>
    </row>
    <row r="209" spans="1:17" ht="16.5" x14ac:dyDescent="0.5">
      <c r="A209" t="s">
        <v>579</v>
      </c>
      <c r="B209" t="s">
        <v>580</v>
      </c>
      <c r="C209" t="s">
        <v>337</v>
      </c>
      <c r="D209" t="s">
        <v>54</v>
      </c>
      <c r="E209" t="s">
        <v>43</v>
      </c>
      <c r="F209" s="1">
        <v>46274</v>
      </c>
      <c r="G209" s="1">
        <v>46330</v>
      </c>
      <c r="H209" s="1">
        <v>46275</v>
      </c>
      <c r="I209" s="1"/>
      <c r="J209" s="2">
        <v>54324.87</v>
      </c>
      <c r="K209" s="2">
        <v>26245.85</v>
      </c>
      <c r="L209" s="2">
        <v>39971.97</v>
      </c>
      <c r="M209">
        <v>1821</v>
      </c>
      <c r="N209">
        <v>1105</v>
      </c>
      <c r="O209" t="s">
        <v>21</v>
      </c>
      <c r="P209" s="2">
        <f>Tabela1[[#This Row],[orcamento_aprovado]]-Tabela1[[#This Row],[custo_real_acumulado]]</f>
        <v>28079.020000000004</v>
      </c>
      <c r="Q209" t="str">
        <f>IF(Tabela1[[#This Row],[data_fim_real]]="","",Tabela1[[#This Row],[data_fim_real]]-Tabela1[[#This Row],[data_inicio_real]])</f>
        <v/>
      </c>
    </row>
    <row r="210" spans="1:17" ht="16.5" x14ac:dyDescent="0.5">
      <c r="A210" t="s">
        <v>581</v>
      </c>
      <c r="B210" t="s">
        <v>582</v>
      </c>
      <c r="C210" t="s">
        <v>185</v>
      </c>
      <c r="D210" t="s">
        <v>50</v>
      </c>
      <c r="E210" t="s">
        <v>20</v>
      </c>
      <c r="F210" s="1">
        <v>46207</v>
      </c>
      <c r="G210" s="1">
        <v>46279</v>
      </c>
      <c r="H210" s="1">
        <v>46214</v>
      </c>
      <c r="I210" s="1"/>
      <c r="J210" s="2">
        <v>58699.58</v>
      </c>
      <c r="K210" s="2">
        <v>43741.82</v>
      </c>
      <c r="L210" s="2">
        <v>43541.08</v>
      </c>
      <c r="M210">
        <v>1804</v>
      </c>
      <c r="N210">
        <v>1541</v>
      </c>
      <c r="O210" t="s">
        <v>26</v>
      </c>
      <c r="P210" s="2">
        <f>Tabela1[[#This Row],[orcamento_aprovado]]-Tabela1[[#This Row],[custo_real_acumulado]]</f>
        <v>14957.760000000002</v>
      </c>
      <c r="Q210" t="str">
        <f>IF(Tabela1[[#This Row],[data_fim_real]]="","",Tabela1[[#This Row],[data_fim_real]]-Tabela1[[#This Row],[data_inicio_real]])</f>
        <v/>
      </c>
    </row>
    <row r="211" spans="1:17" ht="16.5" x14ac:dyDescent="0.5">
      <c r="A211" t="s">
        <v>583</v>
      </c>
      <c r="B211" t="s">
        <v>584</v>
      </c>
      <c r="C211" t="s">
        <v>455</v>
      </c>
      <c r="D211" t="s">
        <v>58</v>
      </c>
      <c r="E211" t="s">
        <v>19</v>
      </c>
      <c r="F211" s="1">
        <v>46154</v>
      </c>
      <c r="G211" s="1">
        <v>46214</v>
      </c>
      <c r="H211" s="1">
        <v>46148</v>
      </c>
      <c r="I211" s="1">
        <v>46214</v>
      </c>
      <c r="J211" s="2">
        <v>50074</v>
      </c>
      <c r="K211" s="2">
        <v>48620.24</v>
      </c>
      <c r="L211" s="2">
        <v>68625.210000000006</v>
      </c>
      <c r="M211">
        <v>797</v>
      </c>
      <c r="N211">
        <v>793</v>
      </c>
      <c r="O211" t="s">
        <v>34</v>
      </c>
      <c r="P211" s="2">
        <f>Tabela1[[#This Row],[orcamento_aprovado]]-Tabela1[[#This Row],[custo_real_acumulado]]</f>
        <v>1453.760000000002</v>
      </c>
      <c r="Q211">
        <f>IF(Tabela1[[#This Row],[data_fim_real]]="","",Tabela1[[#This Row],[data_fim_real]]-Tabela1[[#This Row],[data_inicio_real]])</f>
        <v>66</v>
      </c>
    </row>
    <row r="212" spans="1:17" ht="16.5" x14ac:dyDescent="0.5">
      <c r="A212" t="s">
        <v>585</v>
      </c>
      <c r="B212" t="s">
        <v>586</v>
      </c>
      <c r="C212" t="s">
        <v>587</v>
      </c>
      <c r="D212" t="s">
        <v>50</v>
      </c>
      <c r="E212" t="s">
        <v>42</v>
      </c>
      <c r="F212" s="1">
        <v>46026</v>
      </c>
      <c r="G212" s="1">
        <v>46098</v>
      </c>
      <c r="H212" s="1">
        <v>46023</v>
      </c>
      <c r="I212" s="1">
        <v>46120</v>
      </c>
      <c r="J212" s="2">
        <v>63599.94</v>
      </c>
      <c r="K212" s="2">
        <v>55509.49</v>
      </c>
      <c r="L212" s="2">
        <v>69664.44</v>
      </c>
      <c r="M212">
        <v>1982</v>
      </c>
      <c r="N212">
        <v>2012</v>
      </c>
      <c r="O212" t="s">
        <v>21</v>
      </c>
      <c r="P212" s="2">
        <f>Tabela1[[#This Row],[orcamento_aprovado]]-Tabela1[[#This Row],[custo_real_acumulado]]</f>
        <v>8090.4500000000044</v>
      </c>
      <c r="Q212">
        <f>IF(Tabela1[[#This Row],[data_fim_real]]="","",Tabela1[[#This Row],[data_fim_real]]-Tabela1[[#This Row],[data_inicio_real]])</f>
        <v>97</v>
      </c>
    </row>
    <row r="213" spans="1:17" ht="16.5" x14ac:dyDescent="0.5">
      <c r="A213" t="s">
        <v>588</v>
      </c>
      <c r="B213" t="s">
        <v>589</v>
      </c>
      <c r="C213" t="s">
        <v>138</v>
      </c>
      <c r="D213" t="s">
        <v>71</v>
      </c>
      <c r="E213" t="s">
        <v>20</v>
      </c>
      <c r="F213" s="1">
        <v>46059</v>
      </c>
      <c r="G213" s="1">
        <v>46124</v>
      </c>
      <c r="H213" s="1">
        <v>46070</v>
      </c>
      <c r="I213" s="1"/>
      <c r="J213" s="2">
        <v>50000</v>
      </c>
      <c r="K213" s="2">
        <v>30386.400000000001</v>
      </c>
      <c r="L213" s="2">
        <v>60902.18</v>
      </c>
      <c r="M213">
        <v>622</v>
      </c>
      <c r="N213">
        <v>280</v>
      </c>
      <c r="O213" t="s">
        <v>26</v>
      </c>
      <c r="P213" s="2">
        <f>Tabela1[[#This Row],[orcamento_aprovado]]-Tabela1[[#This Row],[custo_real_acumulado]]</f>
        <v>19613.599999999999</v>
      </c>
      <c r="Q213" t="str">
        <f>IF(Tabela1[[#This Row],[data_fim_real]]="","",Tabela1[[#This Row],[data_fim_real]]-Tabela1[[#This Row],[data_inicio_real]])</f>
        <v/>
      </c>
    </row>
    <row r="214" spans="1:17" ht="16.5" x14ac:dyDescent="0.5">
      <c r="A214" t="s">
        <v>590</v>
      </c>
      <c r="B214" t="s">
        <v>591</v>
      </c>
      <c r="C214" t="s">
        <v>592</v>
      </c>
      <c r="D214" t="s">
        <v>142</v>
      </c>
      <c r="E214" t="s">
        <v>19</v>
      </c>
      <c r="F214" s="1">
        <v>46280</v>
      </c>
      <c r="G214" s="1">
        <v>46364</v>
      </c>
      <c r="H214" s="1">
        <v>46271</v>
      </c>
      <c r="I214" s="1"/>
      <c r="J214" s="2">
        <v>845547.3</v>
      </c>
      <c r="K214" s="2">
        <v>487125.73</v>
      </c>
      <c r="L214" s="2">
        <v>1141538.1599999999</v>
      </c>
      <c r="M214">
        <v>1060</v>
      </c>
      <c r="N214">
        <v>481</v>
      </c>
      <c r="O214" t="s">
        <v>34</v>
      </c>
      <c r="P214" s="2">
        <f>Tabela1[[#This Row],[orcamento_aprovado]]-Tabela1[[#This Row],[custo_real_acumulado]]</f>
        <v>358421.57000000007</v>
      </c>
      <c r="Q214" t="str">
        <f>IF(Tabela1[[#This Row],[data_fim_real]]="","",Tabela1[[#This Row],[data_fim_real]]-Tabela1[[#This Row],[data_inicio_real]])</f>
        <v/>
      </c>
    </row>
    <row r="215" spans="1:17" ht="16.5" x14ac:dyDescent="0.5">
      <c r="A215" t="s">
        <v>593</v>
      </c>
      <c r="B215" t="s">
        <v>594</v>
      </c>
      <c r="C215" t="s">
        <v>595</v>
      </c>
      <c r="D215" t="s">
        <v>58</v>
      </c>
      <c r="E215" t="s">
        <v>19</v>
      </c>
      <c r="F215" s="1">
        <v>46096</v>
      </c>
      <c r="G215" s="1">
        <v>46151</v>
      </c>
      <c r="H215" s="1">
        <v>46107</v>
      </c>
      <c r="I215" s="1">
        <v>46146</v>
      </c>
      <c r="J215" s="2">
        <v>117763.44</v>
      </c>
      <c r="K215" s="2">
        <v>117742.16</v>
      </c>
      <c r="L215" s="2">
        <v>213822.05</v>
      </c>
      <c r="M215">
        <v>696</v>
      </c>
      <c r="N215">
        <v>618</v>
      </c>
      <c r="O215" t="s">
        <v>21</v>
      </c>
      <c r="P215" s="2">
        <f>Tabela1[[#This Row],[orcamento_aprovado]]-Tabela1[[#This Row],[custo_real_acumulado]]</f>
        <v>21.279999999998836</v>
      </c>
      <c r="Q215">
        <f>IF(Tabela1[[#This Row],[data_fim_real]]="","",Tabela1[[#This Row],[data_fim_real]]-Tabela1[[#This Row],[data_inicio_real]])</f>
        <v>39</v>
      </c>
    </row>
    <row r="216" spans="1:17" ht="16.5" x14ac:dyDescent="0.5">
      <c r="A216" t="s">
        <v>596</v>
      </c>
      <c r="B216" t="s">
        <v>597</v>
      </c>
      <c r="C216" t="s">
        <v>512</v>
      </c>
      <c r="D216" t="s">
        <v>58</v>
      </c>
      <c r="E216" t="s">
        <v>20</v>
      </c>
      <c r="F216" s="1">
        <v>46117</v>
      </c>
      <c r="G216" s="1">
        <v>46179</v>
      </c>
      <c r="H216" s="1">
        <v>46125</v>
      </c>
      <c r="I216" s="1">
        <v>46199</v>
      </c>
      <c r="J216" s="2">
        <v>133275.48000000001</v>
      </c>
      <c r="K216" s="2">
        <v>146727.18</v>
      </c>
      <c r="L216" s="2">
        <v>229967.5</v>
      </c>
      <c r="M216">
        <v>1305</v>
      </c>
      <c r="N216">
        <v>1065</v>
      </c>
      <c r="O216" t="s">
        <v>26</v>
      </c>
      <c r="P216" s="2">
        <f>Tabela1[[#This Row],[orcamento_aprovado]]-Tabela1[[#This Row],[custo_real_acumulado]]</f>
        <v>-13451.699999999983</v>
      </c>
      <c r="Q216">
        <f>IF(Tabela1[[#This Row],[data_fim_real]]="","",Tabela1[[#This Row],[data_fim_real]]-Tabela1[[#This Row],[data_inicio_real]])</f>
        <v>74</v>
      </c>
    </row>
    <row r="217" spans="1:17" ht="16.5" x14ac:dyDescent="0.5">
      <c r="A217" t="s">
        <v>598</v>
      </c>
      <c r="B217" t="s">
        <v>599</v>
      </c>
      <c r="C217" t="s">
        <v>600</v>
      </c>
      <c r="D217" t="s">
        <v>78</v>
      </c>
      <c r="E217" t="s">
        <v>20</v>
      </c>
      <c r="F217" s="1">
        <v>46366</v>
      </c>
      <c r="G217" s="1">
        <v>46387</v>
      </c>
      <c r="H217" s="1">
        <v>46363</v>
      </c>
      <c r="I217" s="1">
        <v>46387</v>
      </c>
      <c r="J217" s="2">
        <v>84977.07</v>
      </c>
      <c r="K217" s="2">
        <v>88140.56</v>
      </c>
      <c r="L217" s="2">
        <v>100780.16</v>
      </c>
      <c r="M217">
        <v>1151</v>
      </c>
      <c r="N217">
        <v>999</v>
      </c>
      <c r="O217" t="s">
        <v>34</v>
      </c>
      <c r="P217" s="2">
        <f>Tabela1[[#This Row],[orcamento_aprovado]]-Tabela1[[#This Row],[custo_real_acumulado]]</f>
        <v>-3163.4899999999907</v>
      </c>
      <c r="Q217">
        <f>IF(Tabela1[[#This Row],[data_fim_real]]="","",Tabela1[[#This Row],[data_fim_real]]-Tabela1[[#This Row],[data_inicio_real]])</f>
        <v>24</v>
      </c>
    </row>
    <row r="218" spans="1:17" ht="16.5" x14ac:dyDescent="0.5">
      <c r="A218" t="s">
        <v>601</v>
      </c>
      <c r="B218" t="s">
        <v>602</v>
      </c>
      <c r="C218" t="s">
        <v>141</v>
      </c>
      <c r="D218" t="s">
        <v>33</v>
      </c>
      <c r="E218" t="s">
        <v>42</v>
      </c>
      <c r="F218" s="1">
        <v>46351</v>
      </c>
      <c r="G218" s="1">
        <v>46387</v>
      </c>
      <c r="H218" s="1">
        <v>46333</v>
      </c>
      <c r="I218" s="1"/>
      <c r="J218" s="2">
        <v>117279.73</v>
      </c>
      <c r="K218" s="2">
        <v>91468.43</v>
      </c>
      <c r="L218" s="2">
        <v>46379.64</v>
      </c>
      <c r="M218">
        <v>742</v>
      </c>
      <c r="N218">
        <v>538</v>
      </c>
      <c r="O218" t="s">
        <v>21</v>
      </c>
      <c r="P218" s="2">
        <f>Tabela1[[#This Row],[orcamento_aprovado]]-Tabela1[[#This Row],[custo_real_acumulado]]</f>
        <v>25811.300000000003</v>
      </c>
      <c r="Q218" t="str">
        <f>IF(Tabela1[[#This Row],[data_fim_real]]="","",Tabela1[[#This Row],[data_fim_real]]-Tabela1[[#This Row],[data_inicio_real]])</f>
        <v/>
      </c>
    </row>
    <row r="219" spans="1:17" ht="16.5" x14ac:dyDescent="0.5">
      <c r="A219" t="s">
        <v>603</v>
      </c>
      <c r="B219" t="s">
        <v>604</v>
      </c>
      <c r="C219" t="s">
        <v>605</v>
      </c>
      <c r="D219" t="s">
        <v>54</v>
      </c>
      <c r="E219" t="s">
        <v>19</v>
      </c>
      <c r="F219" s="1">
        <v>46157</v>
      </c>
      <c r="G219" s="1">
        <v>46212</v>
      </c>
      <c r="H219" s="1">
        <v>46163</v>
      </c>
      <c r="I219" s="1"/>
      <c r="J219" s="2">
        <v>179955.22</v>
      </c>
      <c r="K219" s="2">
        <v>28126.59</v>
      </c>
      <c r="L219" s="2">
        <v>328012.83</v>
      </c>
      <c r="M219">
        <v>2243</v>
      </c>
      <c r="N219">
        <v>391</v>
      </c>
      <c r="O219" t="s">
        <v>26</v>
      </c>
      <c r="P219" s="2">
        <f>Tabela1[[#This Row],[orcamento_aprovado]]-Tabela1[[#This Row],[custo_real_acumulado]]</f>
        <v>151828.63</v>
      </c>
      <c r="Q219" t="str">
        <f>IF(Tabela1[[#This Row],[data_fim_real]]="","",Tabela1[[#This Row],[data_fim_real]]-Tabela1[[#This Row],[data_inicio_real]])</f>
        <v/>
      </c>
    </row>
    <row r="220" spans="1:17" ht="16.5" x14ac:dyDescent="0.5">
      <c r="A220" t="s">
        <v>606</v>
      </c>
      <c r="B220" t="s">
        <v>607</v>
      </c>
      <c r="C220" t="s">
        <v>369</v>
      </c>
      <c r="D220" t="s">
        <v>78</v>
      </c>
      <c r="E220" t="s">
        <v>19</v>
      </c>
      <c r="F220" s="1">
        <v>46171</v>
      </c>
      <c r="G220" s="1">
        <v>46239</v>
      </c>
      <c r="H220" s="1">
        <v>46180</v>
      </c>
      <c r="I220" s="1"/>
      <c r="J220" s="2">
        <v>278367.49</v>
      </c>
      <c r="K220" s="2">
        <v>184072.07</v>
      </c>
      <c r="L220" s="2">
        <v>266024.43</v>
      </c>
      <c r="M220">
        <v>2348</v>
      </c>
      <c r="N220">
        <v>1525</v>
      </c>
      <c r="O220" t="s">
        <v>34</v>
      </c>
      <c r="P220" s="2">
        <f>Tabela1[[#This Row],[orcamento_aprovado]]-Tabela1[[#This Row],[custo_real_acumulado]]</f>
        <v>94295.419999999984</v>
      </c>
      <c r="Q220" t="str">
        <f>IF(Tabela1[[#This Row],[data_fim_real]]="","",Tabela1[[#This Row],[data_fim_real]]-Tabela1[[#This Row],[data_inicio_real]])</f>
        <v/>
      </c>
    </row>
    <row r="221" spans="1:17" ht="16.5" x14ac:dyDescent="0.5">
      <c r="A221" t="s">
        <v>608</v>
      </c>
      <c r="B221" t="s">
        <v>609</v>
      </c>
      <c r="C221" t="s">
        <v>129</v>
      </c>
      <c r="D221" t="s">
        <v>54</v>
      </c>
      <c r="E221" t="s">
        <v>19</v>
      </c>
      <c r="F221" s="1">
        <v>46141</v>
      </c>
      <c r="G221" s="1">
        <v>46184</v>
      </c>
      <c r="H221" s="1">
        <v>46153</v>
      </c>
      <c r="I221" s="1"/>
      <c r="J221" s="2">
        <v>320659.96000000002</v>
      </c>
      <c r="K221" s="2">
        <v>303662.77</v>
      </c>
      <c r="L221" s="2">
        <v>303327.18</v>
      </c>
      <c r="M221">
        <v>1369</v>
      </c>
      <c r="N221">
        <v>910</v>
      </c>
      <c r="O221" t="s">
        <v>21</v>
      </c>
      <c r="P221" s="2">
        <f>Tabela1[[#This Row],[orcamento_aprovado]]-Tabela1[[#This Row],[custo_real_acumulado]]</f>
        <v>16997.190000000002</v>
      </c>
      <c r="Q221" t="str">
        <f>IF(Tabela1[[#This Row],[data_fim_real]]="","",Tabela1[[#This Row],[data_fim_real]]-Tabela1[[#This Row],[data_inicio_real]])</f>
        <v/>
      </c>
    </row>
    <row r="222" spans="1:17" ht="16.5" x14ac:dyDescent="0.5">
      <c r="A222" t="s">
        <v>610</v>
      </c>
      <c r="B222" t="s">
        <v>611</v>
      </c>
      <c r="C222" t="s">
        <v>157</v>
      </c>
      <c r="D222" t="s">
        <v>33</v>
      </c>
      <c r="E222" t="s">
        <v>19</v>
      </c>
      <c r="F222" s="1">
        <v>46319</v>
      </c>
      <c r="G222" s="1">
        <v>46387</v>
      </c>
      <c r="H222" s="1">
        <v>46320</v>
      </c>
      <c r="I222" s="1">
        <v>46387</v>
      </c>
      <c r="J222" s="2">
        <v>50000</v>
      </c>
      <c r="K222" s="2">
        <v>45509.45</v>
      </c>
      <c r="L222" s="2">
        <v>106967.26</v>
      </c>
      <c r="M222">
        <v>1939</v>
      </c>
      <c r="N222">
        <v>2136</v>
      </c>
      <c r="O222" t="s">
        <v>26</v>
      </c>
      <c r="P222" s="2">
        <f>Tabela1[[#This Row],[orcamento_aprovado]]-Tabela1[[#This Row],[custo_real_acumulado]]</f>
        <v>4490.5500000000029</v>
      </c>
      <c r="Q222">
        <f>IF(Tabela1[[#This Row],[data_fim_real]]="","",Tabela1[[#This Row],[data_fim_real]]-Tabela1[[#This Row],[data_inicio_real]])</f>
        <v>67</v>
      </c>
    </row>
    <row r="223" spans="1:17" ht="16.5" x14ac:dyDescent="0.5">
      <c r="A223" t="s">
        <v>612</v>
      </c>
      <c r="B223" t="s">
        <v>613</v>
      </c>
      <c r="C223" t="s">
        <v>614</v>
      </c>
      <c r="D223" t="s">
        <v>38</v>
      </c>
      <c r="E223" t="s">
        <v>19</v>
      </c>
      <c r="F223" s="1">
        <v>46279</v>
      </c>
      <c r="G223" s="1">
        <v>46384</v>
      </c>
      <c r="H223" s="1">
        <v>46283</v>
      </c>
      <c r="I223" s="1"/>
      <c r="J223" s="2">
        <v>172682.67</v>
      </c>
      <c r="K223" s="2">
        <v>59217.52</v>
      </c>
      <c r="L223" s="2">
        <v>269504.95</v>
      </c>
      <c r="M223">
        <v>1603</v>
      </c>
      <c r="N223">
        <v>841</v>
      </c>
      <c r="O223" t="s">
        <v>34</v>
      </c>
      <c r="P223" s="2">
        <f>Tabela1[[#This Row],[orcamento_aprovado]]-Tabela1[[#This Row],[custo_real_acumulado]]</f>
        <v>113465.15000000002</v>
      </c>
      <c r="Q223" t="str">
        <f>IF(Tabela1[[#This Row],[data_fim_real]]="","",Tabela1[[#This Row],[data_fim_real]]-Tabela1[[#This Row],[data_inicio_real]])</f>
        <v/>
      </c>
    </row>
    <row r="224" spans="1:17" ht="16.5" x14ac:dyDescent="0.5">
      <c r="A224" t="s">
        <v>615</v>
      </c>
      <c r="B224" t="s">
        <v>616</v>
      </c>
      <c r="C224" t="s">
        <v>450</v>
      </c>
      <c r="D224" t="s">
        <v>58</v>
      </c>
      <c r="E224" t="s">
        <v>19</v>
      </c>
      <c r="F224" s="1">
        <v>46130</v>
      </c>
      <c r="G224" s="1">
        <v>46247</v>
      </c>
      <c r="H224" s="1">
        <v>46130</v>
      </c>
      <c r="I224" s="1"/>
      <c r="J224" s="2">
        <v>62549.84</v>
      </c>
      <c r="K224" s="2">
        <v>38549.31</v>
      </c>
      <c r="L224" s="2">
        <v>77333.95</v>
      </c>
      <c r="M224">
        <v>2437</v>
      </c>
      <c r="N224">
        <v>1325</v>
      </c>
      <c r="O224" t="s">
        <v>21</v>
      </c>
      <c r="P224" s="2">
        <f>Tabela1[[#This Row],[orcamento_aprovado]]-Tabela1[[#This Row],[custo_real_acumulado]]</f>
        <v>24000.53</v>
      </c>
      <c r="Q224" t="str">
        <f>IF(Tabela1[[#This Row],[data_fim_real]]="","",Tabela1[[#This Row],[data_fim_real]]-Tabela1[[#This Row],[data_inicio_real]])</f>
        <v/>
      </c>
    </row>
    <row r="225" spans="1:17" ht="16.5" x14ac:dyDescent="0.5">
      <c r="A225" t="s">
        <v>617</v>
      </c>
      <c r="B225" t="s">
        <v>618</v>
      </c>
      <c r="C225" t="s">
        <v>619</v>
      </c>
      <c r="D225" t="s">
        <v>78</v>
      </c>
      <c r="E225" t="s">
        <v>43</v>
      </c>
      <c r="F225" s="1">
        <v>46361</v>
      </c>
      <c r="G225" s="1">
        <v>46387</v>
      </c>
      <c r="H225" s="1">
        <v>46376</v>
      </c>
      <c r="I225" s="1">
        <v>46387</v>
      </c>
      <c r="J225" s="2">
        <v>83001.240000000005</v>
      </c>
      <c r="K225" s="2">
        <v>55352.54</v>
      </c>
      <c r="L225" s="2">
        <v>26605.31</v>
      </c>
      <c r="M225">
        <v>810</v>
      </c>
      <c r="N225">
        <v>586</v>
      </c>
      <c r="O225" t="s">
        <v>26</v>
      </c>
      <c r="P225" s="2">
        <f>Tabela1[[#This Row],[orcamento_aprovado]]-Tabela1[[#This Row],[custo_real_acumulado]]</f>
        <v>27648.700000000004</v>
      </c>
      <c r="Q225">
        <f>IF(Tabela1[[#This Row],[data_fim_real]]="","",Tabela1[[#This Row],[data_fim_real]]-Tabela1[[#This Row],[data_inicio_real]])</f>
        <v>11</v>
      </c>
    </row>
    <row r="226" spans="1:17" ht="16.5" x14ac:dyDescent="0.5">
      <c r="A226" t="s">
        <v>620</v>
      </c>
      <c r="B226" t="s">
        <v>621</v>
      </c>
      <c r="C226" t="s">
        <v>622</v>
      </c>
      <c r="D226" t="s">
        <v>50</v>
      </c>
      <c r="E226" t="s">
        <v>20</v>
      </c>
      <c r="F226" s="1">
        <v>46058</v>
      </c>
      <c r="G226" s="1">
        <v>46154</v>
      </c>
      <c r="H226" s="1">
        <v>46052</v>
      </c>
      <c r="I226" s="1">
        <v>46156</v>
      </c>
      <c r="J226" s="2">
        <v>121321.83</v>
      </c>
      <c r="K226" s="2">
        <v>117505.41</v>
      </c>
      <c r="L226" s="2">
        <v>252689.09</v>
      </c>
      <c r="M226">
        <v>1531</v>
      </c>
      <c r="N226">
        <v>1649</v>
      </c>
      <c r="O226" t="s">
        <v>34</v>
      </c>
      <c r="P226" s="2">
        <f>Tabela1[[#This Row],[orcamento_aprovado]]-Tabela1[[#This Row],[custo_real_acumulado]]</f>
        <v>3816.4199999999983</v>
      </c>
      <c r="Q226">
        <f>IF(Tabela1[[#This Row],[data_fim_real]]="","",Tabela1[[#This Row],[data_fim_real]]-Tabela1[[#This Row],[data_inicio_real]])</f>
        <v>104</v>
      </c>
    </row>
    <row r="227" spans="1:17" ht="16.5" x14ac:dyDescent="0.5">
      <c r="A227" t="s">
        <v>623</v>
      </c>
      <c r="B227" t="s">
        <v>624</v>
      </c>
      <c r="C227" t="s">
        <v>270</v>
      </c>
      <c r="D227" t="s">
        <v>71</v>
      </c>
      <c r="E227" t="s">
        <v>19</v>
      </c>
      <c r="F227" s="1">
        <v>46360</v>
      </c>
      <c r="G227" s="1">
        <v>46387</v>
      </c>
      <c r="H227" s="1">
        <v>46348</v>
      </c>
      <c r="I227" s="1"/>
      <c r="J227" s="2">
        <v>50000</v>
      </c>
      <c r="K227" s="2">
        <v>17464.68</v>
      </c>
      <c r="L227" s="2">
        <v>92966.14</v>
      </c>
      <c r="M227">
        <v>297</v>
      </c>
      <c r="N227">
        <v>117</v>
      </c>
      <c r="O227" t="s">
        <v>21</v>
      </c>
      <c r="P227" s="2">
        <f>Tabela1[[#This Row],[orcamento_aprovado]]-Tabela1[[#This Row],[custo_real_acumulado]]</f>
        <v>32535.32</v>
      </c>
      <c r="Q227" t="str">
        <f>IF(Tabela1[[#This Row],[data_fim_real]]="","",Tabela1[[#This Row],[data_fim_real]]-Tabela1[[#This Row],[data_inicio_real]])</f>
        <v/>
      </c>
    </row>
    <row r="228" spans="1:17" ht="16.5" x14ac:dyDescent="0.5">
      <c r="A228" t="s">
        <v>625</v>
      </c>
      <c r="B228" t="s">
        <v>626</v>
      </c>
      <c r="C228" t="s">
        <v>627</v>
      </c>
      <c r="D228" t="s">
        <v>58</v>
      </c>
      <c r="E228" t="s">
        <v>19</v>
      </c>
      <c r="F228" s="1">
        <v>46317</v>
      </c>
      <c r="G228" s="1">
        <v>46369</v>
      </c>
      <c r="H228" s="1">
        <v>46332</v>
      </c>
      <c r="I228" s="1"/>
      <c r="J228" s="2">
        <v>63293.919999999998</v>
      </c>
      <c r="K228" s="2">
        <v>35648.019999999997</v>
      </c>
      <c r="L228" s="2">
        <v>65240.91</v>
      </c>
      <c r="M228">
        <v>1021</v>
      </c>
      <c r="N228">
        <v>472</v>
      </c>
      <c r="O228" t="s">
        <v>26</v>
      </c>
      <c r="P228" s="2">
        <f>Tabela1[[#This Row],[orcamento_aprovado]]-Tabela1[[#This Row],[custo_real_acumulado]]</f>
        <v>27645.9</v>
      </c>
      <c r="Q228" t="str">
        <f>IF(Tabela1[[#This Row],[data_fim_real]]="","",Tabela1[[#This Row],[data_fim_real]]-Tabela1[[#This Row],[data_inicio_real]])</f>
        <v/>
      </c>
    </row>
    <row r="229" spans="1:17" ht="16.5" x14ac:dyDescent="0.5">
      <c r="A229" t="s">
        <v>628</v>
      </c>
      <c r="B229" t="s">
        <v>629</v>
      </c>
      <c r="C229" t="s">
        <v>630</v>
      </c>
      <c r="D229" t="s">
        <v>25</v>
      </c>
      <c r="E229" t="s">
        <v>43</v>
      </c>
      <c r="F229" s="1">
        <v>46208</v>
      </c>
      <c r="G229" s="1">
        <v>46284</v>
      </c>
      <c r="H229" s="1">
        <v>46215</v>
      </c>
      <c r="I229" s="1"/>
      <c r="J229" s="2">
        <v>103485.56</v>
      </c>
      <c r="K229" s="2">
        <v>35264.81</v>
      </c>
      <c r="L229" s="2">
        <v>113168.42</v>
      </c>
      <c r="M229">
        <v>1354</v>
      </c>
      <c r="N229">
        <v>414</v>
      </c>
      <c r="O229" t="s">
        <v>34</v>
      </c>
      <c r="P229" s="2">
        <f>Tabela1[[#This Row],[orcamento_aprovado]]-Tabela1[[#This Row],[custo_real_acumulado]]</f>
        <v>68220.75</v>
      </c>
      <c r="Q229" t="str">
        <f>IF(Tabela1[[#This Row],[data_fim_real]]="","",Tabela1[[#This Row],[data_fim_real]]-Tabela1[[#This Row],[data_inicio_real]])</f>
        <v/>
      </c>
    </row>
    <row r="230" spans="1:17" ht="16.5" x14ac:dyDescent="0.5">
      <c r="A230" t="s">
        <v>631</v>
      </c>
      <c r="B230" t="s">
        <v>632</v>
      </c>
      <c r="C230" t="s">
        <v>633</v>
      </c>
      <c r="D230" t="s">
        <v>50</v>
      </c>
      <c r="E230" t="s">
        <v>20</v>
      </c>
      <c r="F230" s="1">
        <v>46199</v>
      </c>
      <c r="G230" s="1">
        <v>46281</v>
      </c>
      <c r="H230" s="1">
        <v>46213</v>
      </c>
      <c r="I230" s="1"/>
      <c r="J230" s="2">
        <v>138744.85</v>
      </c>
      <c r="K230" s="2">
        <v>56850.3</v>
      </c>
      <c r="L230" s="2">
        <v>69533.539999999994</v>
      </c>
      <c r="M230">
        <v>731</v>
      </c>
      <c r="N230">
        <v>339</v>
      </c>
      <c r="O230" t="s">
        <v>21</v>
      </c>
      <c r="P230" s="2">
        <f>Tabela1[[#This Row],[orcamento_aprovado]]-Tabela1[[#This Row],[custo_real_acumulado]]</f>
        <v>81894.55</v>
      </c>
      <c r="Q230" t="str">
        <f>IF(Tabela1[[#This Row],[data_fim_real]]="","",Tabela1[[#This Row],[data_fim_real]]-Tabela1[[#This Row],[data_inicio_real]])</f>
        <v/>
      </c>
    </row>
    <row r="231" spans="1:17" ht="16.5" x14ac:dyDescent="0.5">
      <c r="A231" t="s">
        <v>634</v>
      </c>
      <c r="B231" t="s">
        <v>635</v>
      </c>
      <c r="C231" t="s">
        <v>124</v>
      </c>
      <c r="D231" t="s">
        <v>33</v>
      </c>
      <c r="E231" t="s">
        <v>20</v>
      </c>
      <c r="F231" s="1">
        <v>46264</v>
      </c>
      <c r="G231" s="1">
        <v>46325</v>
      </c>
      <c r="H231" s="1"/>
      <c r="I231" s="1"/>
      <c r="J231" s="2">
        <v>91609.52</v>
      </c>
      <c r="K231" s="2">
        <v>0</v>
      </c>
      <c r="L231" s="2">
        <v>180537.39</v>
      </c>
      <c r="M231">
        <v>2142</v>
      </c>
      <c r="N231">
        <v>0</v>
      </c>
      <c r="O231" t="s">
        <v>26</v>
      </c>
      <c r="P231" s="2">
        <f>Tabela1[[#This Row],[orcamento_aprovado]]-Tabela1[[#This Row],[custo_real_acumulado]]</f>
        <v>91609.52</v>
      </c>
      <c r="Q231" t="str">
        <f>IF(Tabela1[[#This Row],[data_fim_real]]="","",Tabela1[[#This Row],[data_fim_real]]-Tabela1[[#This Row],[data_inicio_real]])</f>
        <v/>
      </c>
    </row>
    <row r="232" spans="1:17" ht="16.5" x14ac:dyDescent="0.5">
      <c r="A232" t="s">
        <v>636</v>
      </c>
      <c r="B232" t="s">
        <v>637</v>
      </c>
      <c r="C232" t="s">
        <v>546</v>
      </c>
      <c r="D232" t="s">
        <v>25</v>
      </c>
      <c r="E232" t="s">
        <v>42</v>
      </c>
      <c r="F232" s="1">
        <v>46126</v>
      </c>
      <c r="G232" s="1">
        <v>46225</v>
      </c>
      <c r="H232" s="1">
        <v>46143</v>
      </c>
      <c r="I232" s="1"/>
      <c r="J232" s="2">
        <v>484990.25</v>
      </c>
      <c r="K232" s="2">
        <v>237773.22</v>
      </c>
      <c r="L232" s="2">
        <v>905232.31</v>
      </c>
      <c r="M232">
        <v>2899</v>
      </c>
      <c r="N232">
        <v>1583</v>
      </c>
      <c r="O232" t="s">
        <v>34</v>
      </c>
      <c r="P232" s="2">
        <f>Tabela1[[#This Row],[orcamento_aprovado]]-Tabela1[[#This Row],[custo_real_acumulado]]</f>
        <v>247217.03</v>
      </c>
      <c r="Q232" t="str">
        <f>IF(Tabela1[[#This Row],[data_fim_real]]="","",Tabela1[[#This Row],[data_fim_real]]-Tabela1[[#This Row],[data_inicio_real]])</f>
        <v/>
      </c>
    </row>
    <row r="233" spans="1:17" ht="16.5" x14ac:dyDescent="0.5">
      <c r="A233" t="s">
        <v>638</v>
      </c>
      <c r="B233" t="s">
        <v>639</v>
      </c>
      <c r="C233" t="s">
        <v>224</v>
      </c>
      <c r="D233" t="s">
        <v>54</v>
      </c>
      <c r="E233" t="s">
        <v>42</v>
      </c>
      <c r="F233" s="1">
        <v>46323</v>
      </c>
      <c r="G233" s="1">
        <v>46387</v>
      </c>
      <c r="H233" s="1">
        <v>46349</v>
      </c>
      <c r="I233" s="1"/>
      <c r="J233" s="2">
        <v>169118.44</v>
      </c>
      <c r="K233" s="2">
        <v>8287.52</v>
      </c>
      <c r="L233" s="2">
        <v>138135.49</v>
      </c>
      <c r="M233">
        <v>3461</v>
      </c>
      <c r="N233">
        <v>204</v>
      </c>
      <c r="O233" t="s">
        <v>21</v>
      </c>
      <c r="P233" s="2">
        <f>Tabela1[[#This Row],[orcamento_aprovado]]-Tabela1[[#This Row],[custo_real_acumulado]]</f>
        <v>160830.92000000001</v>
      </c>
      <c r="Q233" t="str">
        <f>IF(Tabela1[[#This Row],[data_fim_real]]="","",Tabela1[[#This Row],[data_fim_real]]-Tabela1[[#This Row],[data_inicio_real]])</f>
        <v/>
      </c>
    </row>
    <row r="234" spans="1:17" ht="16.5" x14ac:dyDescent="0.5">
      <c r="A234" t="s">
        <v>640</v>
      </c>
      <c r="B234" t="s">
        <v>641</v>
      </c>
      <c r="C234" t="s">
        <v>642</v>
      </c>
      <c r="D234" t="s">
        <v>25</v>
      </c>
      <c r="E234" t="s">
        <v>43</v>
      </c>
      <c r="F234" s="1">
        <v>46282</v>
      </c>
      <c r="G234" s="1">
        <v>46315</v>
      </c>
      <c r="H234" s="1"/>
      <c r="I234" s="1"/>
      <c r="J234" s="2">
        <v>289912.89</v>
      </c>
      <c r="K234" s="2">
        <v>0</v>
      </c>
      <c r="L234" s="2">
        <v>632483.06000000006</v>
      </c>
      <c r="M234">
        <v>877</v>
      </c>
      <c r="N234">
        <v>0</v>
      </c>
      <c r="O234" t="s">
        <v>26</v>
      </c>
      <c r="P234" s="2">
        <f>Tabela1[[#This Row],[orcamento_aprovado]]-Tabela1[[#This Row],[custo_real_acumulado]]</f>
        <v>289912.89</v>
      </c>
      <c r="Q234" t="str">
        <f>IF(Tabela1[[#This Row],[data_fim_real]]="","",Tabela1[[#This Row],[data_fim_real]]-Tabela1[[#This Row],[data_inicio_real]])</f>
        <v/>
      </c>
    </row>
    <row r="235" spans="1:17" ht="16.5" x14ac:dyDescent="0.5">
      <c r="A235" t="s">
        <v>643</v>
      </c>
      <c r="B235" t="s">
        <v>644</v>
      </c>
      <c r="C235" t="s">
        <v>106</v>
      </c>
      <c r="D235" t="s">
        <v>71</v>
      </c>
      <c r="E235" t="s">
        <v>19</v>
      </c>
      <c r="F235" s="1">
        <v>46037</v>
      </c>
      <c r="G235" s="1">
        <v>46124</v>
      </c>
      <c r="H235" s="1">
        <v>46044</v>
      </c>
      <c r="I235" s="1"/>
      <c r="J235" s="2">
        <v>55713.760000000002</v>
      </c>
      <c r="K235" s="2">
        <v>15479.05</v>
      </c>
      <c r="L235" s="2">
        <v>33674.99</v>
      </c>
      <c r="M235">
        <v>887</v>
      </c>
      <c r="N235">
        <v>246</v>
      </c>
      <c r="O235" t="s">
        <v>34</v>
      </c>
      <c r="P235" s="2">
        <f>Tabela1[[#This Row],[orcamento_aprovado]]-Tabela1[[#This Row],[custo_real_acumulado]]</f>
        <v>40234.710000000006</v>
      </c>
      <c r="Q235" t="str">
        <f>IF(Tabela1[[#This Row],[data_fim_real]]="","",Tabela1[[#This Row],[data_fim_real]]-Tabela1[[#This Row],[data_inicio_real]])</f>
        <v/>
      </c>
    </row>
    <row r="236" spans="1:17" ht="16.5" x14ac:dyDescent="0.5">
      <c r="A236" t="s">
        <v>645</v>
      </c>
      <c r="B236" t="s">
        <v>646</v>
      </c>
      <c r="C236" t="s">
        <v>647</v>
      </c>
      <c r="D236" t="s">
        <v>78</v>
      </c>
      <c r="E236" t="s">
        <v>43</v>
      </c>
      <c r="F236" s="1">
        <v>46306</v>
      </c>
      <c r="G236" s="1">
        <v>46373</v>
      </c>
      <c r="H236" s="1">
        <v>46298</v>
      </c>
      <c r="I236" s="1"/>
      <c r="J236" s="2">
        <v>73208.759999999995</v>
      </c>
      <c r="K236" s="2">
        <v>43719.1</v>
      </c>
      <c r="L236" s="2">
        <v>29004.04</v>
      </c>
      <c r="M236">
        <v>1188</v>
      </c>
      <c r="N236">
        <v>676</v>
      </c>
      <c r="O236" t="s">
        <v>21</v>
      </c>
      <c r="P236" s="2">
        <f>Tabela1[[#This Row],[orcamento_aprovado]]-Tabela1[[#This Row],[custo_real_acumulado]]</f>
        <v>29489.659999999996</v>
      </c>
      <c r="Q236" t="str">
        <f>IF(Tabela1[[#This Row],[data_fim_real]]="","",Tabela1[[#This Row],[data_fim_real]]-Tabela1[[#This Row],[data_inicio_real]])</f>
        <v/>
      </c>
    </row>
    <row r="237" spans="1:17" ht="16.5" x14ac:dyDescent="0.5">
      <c r="A237" t="s">
        <v>648</v>
      </c>
      <c r="B237" t="s">
        <v>649</v>
      </c>
      <c r="C237" t="s">
        <v>312</v>
      </c>
      <c r="D237" t="s">
        <v>58</v>
      </c>
      <c r="E237" t="s">
        <v>20</v>
      </c>
      <c r="F237" s="1">
        <v>46084</v>
      </c>
      <c r="G237" s="1">
        <v>46144</v>
      </c>
      <c r="H237" s="1">
        <v>46086</v>
      </c>
      <c r="I237" s="1"/>
      <c r="J237" s="2">
        <v>50000</v>
      </c>
      <c r="K237" s="2">
        <v>36565.839999999997</v>
      </c>
      <c r="L237" s="2">
        <v>41147.72</v>
      </c>
      <c r="M237">
        <v>3245</v>
      </c>
      <c r="N237">
        <v>1703</v>
      </c>
      <c r="O237" t="s">
        <v>26</v>
      </c>
      <c r="P237" s="2">
        <f>Tabela1[[#This Row],[orcamento_aprovado]]-Tabela1[[#This Row],[custo_real_acumulado]]</f>
        <v>13434.160000000003</v>
      </c>
      <c r="Q237" t="str">
        <f>IF(Tabela1[[#This Row],[data_fim_real]]="","",Tabela1[[#This Row],[data_fim_real]]-Tabela1[[#This Row],[data_inicio_real]])</f>
        <v/>
      </c>
    </row>
    <row r="238" spans="1:17" ht="16.5" x14ac:dyDescent="0.5">
      <c r="A238" t="s">
        <v>650</v>
      </c>
      <c r="B238" t="s">
        <v>651</v>
      </c>
      <c r="C238" t="s">
        <v>103</v>
      </c>
      <c r="D238" t="s">
        <v>71</v>
      </c>
      <c r="E238" t="s">
        <v>42</v>
      </c>
      <c r="F238" s="1">
        <v>46088</v>
      </c>
      <c r="G238" s="1">
        <v>46153</v>
      </c>
      <c r="H238" s="1">
        <v>46097</v>
      </c>
      <c r="I238" s="1"/>
      <c r="J238" s="2">
        <v>50000</v>
      </c>
      <c r="K238" s="2">
        <v>24564.65</v>
      </c>
      <c r="L238" s="2">
        <v>35056.959999999999</v>
      </c>
      <c r="M238">
        <v>1063</v>
      </c>
      <c r="N238">
        <v>377</v>
      </c>
      <c r="O238" t="s">
        <v>34</v>
      </c>
      <c r="P238" s="2">
        <f>Tabela1[[#This Row],[orcamento_aprovado]]-Tabela1[[#This Row],[custo_real_acumulado]]</f>
        <v>25435.35</v>
      </c>
      <c r="Q238" t="str">
        <f>IF(Tabela1[[#This Row],[data_fim_real]]="","",Tabela1[[#This Row],[data_fim_real]]-Tabela1[[#This Row],[data_inicio_real]])</f>
        <v/>
      </c>
    </row>
    <row r="239" spans="1:17" ht="16.5" x14ac:dyDescent="0.5">
      <c r="A239" t="s">
        <v>652</v>
      </c>
      <c r="B239" t="s">
        <v>653</v>
      </c>
      <c r="C239" t="s">
        <v>654</v>
      </c>
      <c r="D239" t="s">
        <v>33</v>
      </c>
      <c r="E239" t="s">
        <v>20</v>
      </c>
      <c r="F239" s="1">
        <v>46336</v>
      </c>
      <c r="G239" s="1">
        <v>46353</v>
      </c>
      <c r="H239" s="1">
        <v>46352</v>
      </c>
      <c r="I239" s="1"/>
      <c r="J239" s="2">
        <v>60766.7</v>
      </c>
      <c r="K239" s="2">
        <v>31509.29</v>
      </c>
      <c r="L239" s="2">
        <v>59918.52</v>
      </c>
      <c r="M239">
        <v>301</v>
      </c>
      <c r="N239">
        <v>155</v>
      </c>
      <c r="O239" t="s">
        <v>21</v>
      </c>
      <c r="P239" s="2">
        <f>Tabela1[[#This Row],[orcamento_aprovado]]-Tabela1[[#This Row],[custo_real_acumulado]]</f>
        <v>29257.409999999996</v>
      </c>
      <c r="Q239" t="str">
        <f>IF(Tabela1[[#This Row],[data_fim_real]]="","",Tabela1[[#This Row],[data_fim_real]]-Tabela1[[#This Row],[data_inicio_real]])</f>
        <v/>
      </c>
    </row>
    <row r="240" spans="1:17" ht="16.5" x14ac:dyDescent="0.5">
      <c r="A240" t="s">
        <v>655</v>
      </c>
      <c r="B240" t="s">
        <v>656</v>
      </c>
      <c r="C240" t="s">
        <v>622</v>
      </c>
      <c r="D240" t="s">
        <v>33</v>
      </c>
      <c r="E240" t="s">
        <v>19</v>
      </c>
      <c r="F240" s="1">
        <v>46374</v>
      </c>
      <c r="G240" s="1">
        <v>46387</v>
      </c>
      <c r="H240" s="1">
        <v>46367</v>
      </c>
      <c r="I240" s="1"/>
      <c r="J240" s="2">
        <v>50000</v>
      </c>
      <c r="K240" s="2">
        <v>20141.16</v>
      </c>
      <c r="L240" s="2">
        <v>78943.75</v>
      </c>
      <c r="M240">
        <v>510</v>
      </c>
      <c r="N240">
        <v>153</v>
      </c>
      <c r="O240" t="s">
        <v>26</v>
      </c>
      <c r="P240" s="2">
        <f>Tabela1[[#This Row],[orcamento_aprovado]]-Tabela1[[#This Row],[custo_real_acumulado]]</f>
        <v>29858.84</v>
      </c>
      <c r="Q240" t="str">
        <f>IF(Tabela1[[#This Row],[data_fim_real]]="","",Tabela1[[#This Row],[data_fim_real]]-Tabela1[[#This Row],[data_inicio_real]])</f>
        <v/>
      </c>
    </row>
    <row r="241" spans="1:17" ht="16.5" x14ac:dyDescent="0.5">
      <c r="A241" t="s">
        <v>657</v>
      </c>
      <c r="B241" t="s">
        <v>658</v>
      </c>
      <c r="C241" t="s">
        <v>659</v>
      </c>
      <c r="D241" t="s">
        <v>38</v>
      </c>
      <c r="E241" t="s">
        <v>20</v>
      </c>
      <c r="F241" s="1">
        <v>46184</v>
      </c>
      <c r="G241" s="1">
        <v>46219</v>
      </c>
      <c r="H241" s="1">
        <v>46193</v>
      </c>
      <c r="I241" s="1"/>
      <c r="J241" s="2">
        <v>229173.18</v>
      </c>
      <c r="K241" s="2">
        <v>181490.53</v>
      </c>
      <c r="L241" s="2">
        <v>338452.33</v>
      </c>
      <c r="M241">
        <v>1459</v>
      </c>
      <c r="N241">
        <v>1330</v>
      </c>
      <c r="O241" t="s">
        <v>34</v>
      </c>
      <c r="P241" s="2">
        <f>Tabela1[[#This Row],[orcamento_aprovado]]-Tabela1[[#This Row],[custo_real_acumulado]]</f>
        <v>47682.649999999994</v>
      </c>
      <c r="Q241" t="str">
        <f>IF(Tabela1[[#This Row],[data_fim_real]]="","",Tabela1[[#This Row],[data_fim_real]]-Tabela1[[#This Row],[data_inicio_real]])</f>
        <v/>
      </c>
    </row>
    <row r="242" spans="1:17" ht="16.5" x14ac:dyDescent="0.5">
      <c r="A242" t="s">
        <v>660</v>
      </c>
      <c r="B242" t="s">
        <v>661</v>
      </c>
      <c r="C242" t="s">
        <v>662</v>
      </c>
      <c r="D242" t="s">
        <v>18</v>
      </c>
      <c r="E242" t="s">
        <v>19</v>
      </c>
      <c r="F242" s="1">
        <v>46199</v>
      </c>
      <c r="G242" s="1">
        <v>46292</v>
      </c>
      <c r="H242" s="1">
        <v>46208</v>
      </c>
      <c r="I242" s="1"/>
      <c r="J242" s="2">
        <v>157797.26999999999</v>
      </c>
      <c r="K242" s="2">
        <v>50622.84</v>
      </c>
      <c r="L242" s="2">
        <v>340903.32</v>
      </c>
      <c r="M242">
        <v>4716</v>
      </c>
      <c r="N242">
        <v>1650</v>
      </c>
      <c r="O242" t="s">
        <v>21</v>
      </c>
      <c r="P242" s="2">
        <f>Tabela1[[#This Row],[orcamento_aprovado]]-Tabela1[[#This Row],[custo_real_acumulado]]</f>
        <v>107174.43</v>
      </c>
      <c r="Q242" t="str">
        <f>IF(Tabela1[[#This Row],[data_fim_real]]="","",Tabela1[[#This Row],[data_fim_real]]-Tabela1[[#This Row],[data_inicio_real]])</f>
        <v/>
      </c>
    </row>
    <row r="243" spans="1:17" ht="16.5" x14ac:dyDescent="0.5">
      <c r="A243" t="s">
        <v>663</v>
      </c>
      <c r="B243" t="s">
        <v>664</v>
      </c>
      <c r="C243" t="s">
        <v>205</v>
      </c>
      <c r="D243" t="s">
        <v>71</v>
      </c>
      <c r="E243" t="s">
        <v>19</v>
      </c>
      <c r="F243" s="1">
        <v>46108</v>
      </c>
      <c r="G243" s="1">
        <v>46215</v>
      </c>
      <c r="H243" s="1">
        <v>46120</v>
      </c>
      <c r="I243" s="1"/>
      <c r="J243" s="2">
        <v>176862.4</v>
      </c>
      <c r="K243" s="2">
        <v>58394.06</v>
      </c>
      <c r="L243" s="2">
        <v>304105.83</v>
      </c>
      <c r="M243">
        <v>3394</v>
      </c>
      <c r="N243">
        <v>1108</v>
      </c>
      <c r="O243" t="s">
        <v>26</v>
      </c>
      <c r="P243" s="2">
        <f>Tabela1[[#This Row],[orcamento_aprovado]]-Tabela1[[#This Row],[custo_real_acumulado]]</f>
        <v>118468.34</v>
      </c>
      <c r="Q243" t="str">
        <f>IF(Tabela1[[#This Row],[data_fim_real]]="","",Tabela1[[#This Row],[data_fim_real]]-Tabela1[[#This Row],[data_inicio_real]])</f>
        <v/>
      </c>
    </row>
    <row r="244" spans="1:17" ht="16.5" x14ac:dyDescent="0.5">
      <c r="A244" t="s">
        <v>665</v>
      </c>
      <c r="B244" t="s">
        <v>666</v>
      </c>
      <c r="C244" t="s">
        <v>667</v>
      </c>
      <c r="D244" t="s">
        <v>78</v>
      </c>
      <c r="E244" t="s">
        <v>43</v>
      </c>
      <c r="F244" s="1">
        <v>46323</v>
      </c>
      <c r="G244" s="1">
        <v>46337</v>
      </c>
      <c r="H244" s="1">
        <v>46323</v>
      </c>
      <c r="I244" s="1">
        <v>46343</v>
      </c>
      <c r="J244" s="2">
        <v>85093.51</v>
      </c>
      <c r="K244" s="2">
        <v>73277.5</v>
      </c>
      <c r="L244" s="2">
        <v>127607.34</v>
      </c>
      <c r="M244">
        <v>755</v>
      </c>
      <c r="N244">
        <v>619</v>
      </c>
      <c r="O244" t="s">
        <v>34</v>
      </c>
      <c r="P244" s="2">
        <f>Tabela1[[#This Row],[orcamento_aprovado]]-Tabela1[[#This Row],[custo_real_acumulado]]</f>
        <v>11816.009999999995</v>
      </c>
      <c r="Q244">
        <f>IF(Tabela1[[#This Row],[data_fim_real]]="","",Tabela1[[#This Row],[data_fim_real]]-Tabela1[[#This Row],[data_inicio_real]])</f>
        <v>20</v>
      </c>
    </row>
    <row r="245" spans="1:17" ht="16.5" x14ac:dyDescent="0.5">
      <c r="A245" t="s">
        <v>668</v>
      </c>
      <c r="B245" t="s">
        <v>669</v>
      </c>
      <c r="C245" t="s">
        <v>670</v>
      </c>
      <c r="D245" t="s">
        <v>18</v>
      </c>
      <c r="E245" t="s">
        <v>20</v>
      </c>
      <c r="F245" s="1">
        <v>46291</v>
      </c>
      <c r="G245" s="1">
        <v>46322</v>
      </c>
      <c r="H245" s="1">
        <v>46295</v>
      </c>
      <c r="I245" s="1"/>
      <c r="J245" s="2">
        <v>99707.83</v>
      </c>
      <c r="K245" s="2">
        <v>63889.1</v>
      </c>
      <c r="L245" s="2">
        <v>143752.04999999999</v>
      </c>
      <c r="M245">
        <v>2096</v>
      </c>
      <c r="N245">
        <v>1709</v>
      </c>
      <c r="O245" t="s">
        <v>21</v>
      </c>
      <c r="P245" s="2">
        <f>Tabela1[[#This Row],[orcamento_aprovado]]-Tabela1[[#This Row],[custo_real_acumulado]]</f>
        <v>35818.730000000003</v>
      </c>
      <c r="Q245" t="str">
        <f>IF(Tabela1[[#This Row],[data_fim_real]]="","",Tabela1[[#This Row],[data_fim_real]]-Tabela1[[#This Row],[data_inicio_real]])</f>
        <v/>
      </c>
    </row>
    <row r="246" spans="1:17" ht="16.5" x14ac:dyDescent="0.5">
      <c r="A246" t="s">
        <v>671</v>
      </c>
      <c r="B246" t="s">
        <v>672</v>
      </c>
      <c r="C246" t="s">
        <v>600</v>
      </c>
      <c r="D246" t="s">
        <v>54</v>
      </c>
      <c r="E246" t="s">
        <v>43</v>
      </c>
      <c r="F246" s="1">
        <v>46266</v>
      </c>
      <c r="G246" s="1">
        <v>46349</v>
      </c>
      <c r="H246" s="1"/>
      <c r="I246" s="1"/>
      <c r="J246" s="2">
        <v>254177.27</v>
      </c>
      <c r="K246" s="2">
        <v>0</v>
      </c>
      <c r="L246" s="2">
        <v>219117.53</v>
      </c>
      <c r="M246">
        <v>3908</v>
      </c>
      <c r="N246">
        <v>0</v>
      </c>
      <c r="O246" t="s">
        <v>26</v>
      </c>
      <c r="P246" s="2">
        <f>Tabela1[[#This Row],[orcamento_aprovado]]-Tabela1[[#This Row],[custo_real_acumulado]]</f>
        <v>254177.27</v>
      </c>
      <c r="Q246" t="str">
        <f>IF(Tabela1[[#This Row],[data_fim_real]]="","",Tabela1[[#This Row],[data_fim_real]]-Tabela1[[#This Row],[data_inicio_real]])</f>
        <v/>
      </c>
    </row>
    <row r="247" spans="1:17" ht="16.5" x14ac:dyDescent="0.5">
      <c r="A247" t="s">
        <v>673</v>
      </c>
      <c r="B247" t="s">
        <v>674</v>
      </c>
      <c r="C247" t="s">
        <v>188</v>
      </c>
      <c r="D247" t="s">
        <v>78</v>
      </c>
      <c r="E247" t="s">
        <v>43</v>
      </c>
      <c r="F247" s="1">
        <v>46234</v>
      </c>
      <c r="G247" s="1">
        <v>46359</v>
      </c>
      <c r="H247" s="1"/>
      <c r="I247" s="1"/>
      <c r="J247" s="2">
        <v>250703.35999999999</v>
      </c>
      <c r="K247" s="2">
        <v>0</v>
      </c>
      <c r="L247" s="2">
        <v>238466.22</v>
      </c>
      <c r="M247">
        <v>3515</v>
      </c>
      <c r="N247">
        <v>0</v>
      </c>
      <c r="O247" t="s">
        <v>34</v>
      </c>
      <c r="P247" s="2">
        <f>Tabela1[[#This Row],[orcamento_aprovado]]-Tabela1[[#This Row],[custo_real_acumulado]]</f>
        <v>250703.35999999999</v>
      </c>
      <c r="Q247" t="str">
        <f>IF(Tabela1[[#This Row],[data_fim_real]]="","",Tabela1[[#This Row],[data_fim_real]]-Tabela1[[#This Row],[data_inicio_real]])</f>
        <v/>
      </c>
    </row>
    <row r="248" spans="1:17" ht="16.5" x14ac:dyDescent="0.5">
      <c r="A248" t="s">
        <v>675</v>
      </c>
      <c r="B248" t="s">
        <v>676</v>
      </c>
      <c r="C248" t="s">
        <v>677</v>
      </c>
      <c r="D248" t="s">
        <v>78</v>
      </c>
      <c r="E248" t="s">
        <v>19</v>
      </c>
      <c r="F248" s="1">
        <v>46214</v>
      </c>
      <c r="G248" s="1">
        <v>46258</v>
      </c>
      <c r="H248" s="1">
        <v>46214</v>
      </c>
      <c r="I248" s="1"/>
      <c r="J248" s="2">
        <v>50000</v>
      </c>
      <c r="K248" s="2">
        <v>23944.45</v>
      </c>
      <c r="L248" s="2">
        <v>95859.32</v>
      </c>
      <c r="M248">
        <v>283</v>
      </c>
      <c r="N248">
        <v>133</v>
      </c>
      <c r="O248" t="s">
        <v>21</v>
      </c>
      <c r="P248" s="2">
        <f>Tabela1[[#This Row],[orcamento_aprovado]]-Tabela1[[#This Row],[custo_real_acumulado]]</f>
        <v>26055.55</v>
      </c>
      <c r="Q248" t="str">
        <f>IF(Tabela1[[#This Row],[data_fim_real]]="","",Tabela1[[#This Row],[data_fim_real]]-Tabela1[[#This Row],[data_inicio_real]])</f>
        <v/>
      </c>
    </row>
    <row r="249" spans="1:17" ht="16.5" x14ac:dyDescent="0.5">
      <c r="A249" t="s">
        <v>678</v>
      </c>
      <c r="B249" t="s">
        <v>679</v>
      </c>
      <c r="C249" t="s">
        <v>578</v>
      </c>
      <c r="D249" t="s">
        <v>50</v>
      </c>
      <c r="E249" t="s">
        <v>43</v>
      </c>
      <c r="F249" s="1">
        <v>46058</v>
      </c>
      <c r="G249" s="1">
        <v>46185</v>
      </c>
      <c r="H249" s="1">
        <v>46055</v>
      </c>
      <c r="I249" s="1">
        <v>46183</v>
      </c>
      <c r="J249" s="2">
        <v>307068.18</v>
      </c>
      <c r="K249" s="2">
        <v>368312.13</v>
      </c>
      <c r="L249" s="2">
        <v>672964.76</v>
      </c>
      <c r="M249">
        <v>4814</v>
      </c>
      <c r="N249">
        <v>4108</v>
      </c>
      <c r="O249" t="s">
        <v>26</v>
      </c>
      <c r="P249" s="2">
        <f>Tabela1[[#This Row],[orcamento_aprovado]]-Tabela1[[#This Row],[custo_real_acumulado]]</f>
        <v>-61243.950000000012</v>
      </c>
      <c r="Q249">
        <f>IF(Tabela1[[#This Row],[data_fim_real]]="","",Tabela1[[#This Row],[data_fim_real]]-Tabela1[[#This Row],[data_inicio_real]])</f>
        <v>128</v>
      </c>
    </row>
    <row r="250" spans="1:17" ht="16.5" x14ac:dyDescent="0.5">
      <c r="A250" t="s">
        <v>680</v>
      </c>
      <c r="B250" t="s">
        <v>681</v>
      </c>
      <c r="C250" t="s">
        <v>682</v>
      </c>
      <c r="D250" t="s">
        <v>50</v>
      </c>
      <c r="E250" t="s">
        <v>20</v>
      </c>
      <c r="F250" s="1">
        <v>46027</v>
      </c>
      <c r="G250" s="1">
        <v>46141</v>
      </c>
      <c r="H250" s="1">
        <v>46023</v>
      </c>
      <c r="I250" s="1"/>
      <c r="J250" s="2">
        <v>394604.56</v>
      </c>
      <c r="K250" s="2">
        <v>280979.78999999998</v>
      </c>
      <c r="L250" s="2">
        <v>772806.55</v>
      </c>
      <c r="M250">
        <v>7484</v>
      </c>
      <c r="N250">
        <v>4142</v>
      </c>
      <c r="O250" t="s">
        <v>34</v>
      </c>
      <c r="P250" s="2">
        <f>Tabela1[[#This Row],[orcamento_aprovado]]-Tabela1[[#This Row],[custo_real_acumulado]]</f>
        <v>113624.77000000002</v>
      </c>
      <c r="Q250" t="str">
        <f>IF(Tabela1[[#This Row],[data_fim_real]]="","",Tabela1[[#This Row],[data_fim_real]]-Tabela1[[#This Row],[data_inicio_real]])</f>
        <v/>
      </c>
    </row>
    <row r="251" spans="1:17" ht="16.5" x14ac:dyDescent="0.5">
      <c r="A251" t="s">
        <v>683</v>
      </c>
      <c r="B251" t="s">
        <v>684</v>
      </c>
      <c r="C251" t="s">
        <v>667</v>
      </c>
      <c r="D251" t="s">
        <v>142</v>
      </c>
      <c r="E251" t="s">
        <v>19</v>
      </c>
      <c r="F251" s="1">
        <v>46218</v>
      </c>
      <c r="G251" s="1">
        <v>46257</v>
      </c>
      <c r="H251" s="1">
        <v>46220</v>
      </c>
      <c r="I251" s="1"/>
      <c r="J251" s="2">
        <v>242192.05</v>
      </c>
      <c r="K251" s="2">
        <v>64259.33</v>
      </c>
      <c r="L251" s="2">
        <v>121197.39</v>
      </c>
      <c r="M251">
        <v>1651</v>
      </c>
      <c r="N251">
        <v>457</v>
      </c>
      <c r="O251" t="s">
        <v>21</v>
      </c>
      <c r="P251" s="2">
        <f>Tabela1[[#This Row],[orcamento_aprovado]]-Tabela1[[#This Row],[custo_real_acumulado]]</f>
        <v>177932.71999999997</v>
      </c>
      <c r="Q251" t="str">
        <f>IF(Tabela1[[#This Row],[data_fim_real]]="","",Tabela1[[#This Row],[data_fim_real]]-Tabela1[[#This Row],[data_inicio_real]])</f>
        <v/>
      </c>
    </row>
    <row r="252" spans="1:17" ht="16.5" x14ac:dyDescent="0.5">
      <c r="A252" t="s">
        <v>685</v>
      </c>
      <c r="B252" t="s">
        <v>686</v>
      </c>
      <c r="C252" t="s">
        <v>438</v>
      </c>
      <c r="D252" t="s">
        <v>38</v>
      </c>
      <c r="E252" t="s">
        <v>42</v>
      </c>
      <c r="F252" s="1">
        <v>46289</v>
      </c>
      <c r="G252" s="1">
        <v>46363</v>
      </c>
      <c r="H252" s="1">
        <v>46300</v>
      </c>
      <c r="I252" s="1"/>
      <c r="J252" s="2">
        <v>130100.21</v>
      </c>
      <c r="K252" s="2">
        <v>58933.49</v>
      </c>
      <c r="L252" s="2">
        <v>154265.68</v>
      </c>
      <c r="M252">
        <v>1707</v>
      </c>
      <c r="N252">
        <v>775</v>
      </c>
      <c r="O252" t="s">
        <v>26</v>
      </c>
      <c r="P252" s="2">
        <f>Tabela1[[#This Row],[orcamento_aprovado]]-Tabela1[[#This Row],[custo_real_acumulado]]</f>
        <v>71166.720000000001</v>
      </c>
      <c r="Q252" t="str">
        <f>IF(Tabela1[[#This Row],[data_fim_real]]="","",Tabela1[[#This Row],[data_fim_real]]-Tabela1[[#This Row],[data_inicio_real]])</f>
        <v/>
      </c>
    </row>
    <row r="253" spans="1:17" ht="16.5" x14ac:dyDescent="0.5">
      <c r="A253" t="s">
        <v>687</v>
      </c>
      <c r="B253" t="s">
        <v>688</v>
      </c>
      <c r="C253" t="s">
        <v>614</v>
      </c>
      <c r="D253" t="s">
        <v>78</v>
      </c>
      <c r="E253" t="s">
        <v>43</v>
      </c>
      <c r="F253" s="1">
        <v>46266</v>
      </c>
      <c r="G253" s="1">
        <v>46332</v>
      </c>
      <c r="H253" s="1">
        <v>46259</v>
      </c>
      <c r="I253" s="1">
        <v>46267</v>
      </c>
      <c r="J253" s="2">
        <v>363223.94</v>
      </c>
      <c r="K253" s="2">
        <v>226052.72</v>
      </c>
      <c r="L253" s="2">
        <v>422410.9</v>
      </c>
      <c r="M253">
        <v>1428</v>
      </c>
      <c r="N253">
        <v>733</v>
      </c>
      <c r="O253" t="s">
        <v>34</v>
      </c>
      <c r="P253" s="2">
        <f>Tabela1[[#This Row],[orcamento_aprovado]]-Tabela1[[#This Row],[custo_real_acumulado]]</f>
        <v>137171.22</v>
      </c>
      <c r="Q253">
        <f>IF(Tabela1[[#This Row],[data_fim_real]]="","",Tabela1[[#This Row],[data_fim_real]]-Tabela1[[#This Row],[data_inicio_real]])</f>
        <v>8</v>
      </c>
    </row>
    <row r="254" spans="1:17" ht="16.5" x14ac:dyDescent="0.5">
      <c r="A254" t="s">
        <v>689</v>
      </c>
      <c r="B254" t="s">
        <v>690</v>
      </c>
      <c r="C254" t="s">
        <v>691</v>
      </c>
      <c r="D254" t="s">
        <v>54</v>
      </c>
      <c r="E254" t="s">
        <v>20</v>
      </c>
      <c r="F254" s="1">
        <v>46121</v>
      </c>
      <c r="G254" s="1">
        <v>46189</v>
      </c>
      <c r="H254" s="1">
        <v>46120</v>
      </c>
      <c r="I254" s="1"/>
      <c r="J254" s="2">
        <v>100464.03</v>
      </c>
      <c r="K254" s="2">
        <v>21235.38</v>
      </c>
      <c r="L254" s="2">
        <v>97850.38</v>
      </c>
      <c r="M254">
        <v>3929</v>
      </c>
      <c r="N254">
        <v>616</v>
      </c>
      <c r="O254" t="s">
        <v>21</v>
      </c>
      <c r="P254" s="2">
        <f>Tabela1[[#This Row],[orcamento_aprovado]]-Tabela1[[#This Row],[custo_real_acumulado]]</f>
        <v>79228.649999999994</v>
      </c>
      <c r="Q254" t="str">
        <f>IF(Tabela1[[#This Row],[data_fim_real]]="","",Tabela1[[#This Row],[data_fim_real]]-Tabela1[[#This Row],[data_inicio_real]])</f>
        <v/>
      </c>
    </row>
    <row r="255" spans="1:17" ht="16.5" x14ac:dyDescent="0.5">
      <c r="A255" t="s">
        <v>692</v>
      </c>
      <c r="B255" t="s">
        <v>693</v>
      </c>
      <c r="C255" t="s">
        <v>694</v>
      </c>
      <c r="D255" t="s">
        <v>58</v>
      </c>
      <c r="E255" t="s">
        <v>43</v>
      </c>
      <c r="F255" s="1">
        <v>46105</v>
      </c>
      <c r="G255" s="1">
        <v>46194</v>
      </c>
      <c r="H255" s="1">
        <v>46109</v>
      </c>
      <c r="I255" s="1"/>
      <c r="J255" s="2">
        <v>50000</v>
      </c>
      <c r="K255" s="2">
        <v>28904.15</v>
      </c>
      <c r="L255" s="2">
        <v>53138.87</v>
      </c>
      <c r="M255">
        <v>1391</v>
      </c>
      <c r="N255">
        <v>607</v>
      </c>
      <c r="O255" t="s">
        <v>26</v>
      </c>
      <c r="P255" s="2">
        <f>Tabela1[[#This Row],[orcamento_aprovado]]-Tabela1[[#This Row],[custo_real_acumulado]]</f>
        <v>21095.85</v>
      </c>
      <c r="Q255" t="str">
        <f>IF(Tabela1[[#This Row],[data_fim_real]]="","",Tabela1[[#This Row],[data_fim_real]]-Tabela1[[#This Row],[data_inicio_real]])</f>
        <v/>
      </c>
    </row>
    <row r="256" spans="1:17" ht="16.5" x14ac:dyDescent="0.5">
      <c r="A256" t="s">
        <v>695</v>
      </c>
      <c r="B256" t="s">
        <v>696</v>
      </c>
      <c r="C256" t="s">
        <v>697</v>
      </c>
      <c r="D256" t="s">
        <v>33</v>
      </c>
      <c r="E256" t="s">
        <v>43</v>
      </c>
      <c r="F256" s="1">
        <v>46291</v>
      </c>
      <c r="G256" s="1">
        <v>46387</v>
      </c>
      <c r="H256" s="1">
        <v>46305</v>
      </c>
      <c r="I256" s="1">
        <v>46378</v>
      </c>
      <c r="J256" s="2">
        <v>239119.89</v>
      </c>
      <c r="K256" s="2">
        <v>86675.68</v>
      </c>
      <c r="L256" s="2">
        <v>107755.2</v>
      </c>
      <c r="M256">
        <v>2469</v>
      </c>
      <c r="N256">
        <v>699</v>
      </c>
      <c r="O256" t="s">
        <v>34</v>
      </c>
      <c r="P256" s="2">
        <f>Tabela1[[#This Row],[orcamento_aprovado]]-Tabela1[[#This Row],[custo_real_acumulado]]</f>
        <v>152444.21000000002</v>
      </c>
      <c r="Q256">
        <f>IF(Tabela1[[#This Row],[data_fim_real]]="","",Tabela1[[#This Row],[data_fim_real]]-Tabela1[[#This Row],[data_inicio_real]])</f>
        <v>73</v>
      </c>
    </row>
    <row r="257" spans="1:17" ht="16.5" x14ac:dyDescent="0.5">
      <c r="A257" t="s">
        <v>698</v>
      </c>
      <c r="B257" t="s">
        <v>699</v>
      </c>
      <c r="C257" t="s">
        <v>700</v>
      </c>
      <c r="D257" t="s">
        <v>142</v>
      </c>
      <c r="E257" t="s">
        <v>20</v>
      </c>
      <c r="F257" s="1">
        <v>46359</v>
      </c>
      <c r="G257" s="1">
        <v>46387</v>
      </c>
      <c r="H257" s="1"/>
      <c r="I257" s="1"/>
      <c r="J257" s="2">
        <v>258327.18</v>
      </c>
      <c r="K257" s="2">
        <v>0</v>
      </c>
      <c r="L257" s="2">
        <v>311540.99</v>
      </c>
      <c r="M257">
        <v>950</v>
      </c>
      <c r="N257">
        <v>0</v>
      </c>
      <c r="O257" t="s">
        <v>21</v>
      </c>
      <c r="P257" s="2">
        <f>Tabela1[[#This Row],[orcamento_aprovado]]-Tabela1[[#This Row],[custo_real_acumulado]]</f>
        <v>258327.18</v>
      </c>
      <c r="Q257" t="str">
        <f>IF(Tabela1[[#This Row],[data_fim_real]]="","",Tabela1[[#This Row],[data_fim_real]]-Tabela1[[#This Row],[data_inicio_real]])</f>
        <v/>
      </c>
    </row>
    <row r="258" spans="1:17" ht="16.5" x14ac:dyDescent="0.5">
      <c r="A258" t="s">
        <v>701</v>
      </c>
      <c r="B258" t="s">
        <v>702</v>
      </c>
      <c r="C258" t="s">
        <v>61</v>
      </c>
      <c r="D258" t="s">
        <v>142</v>
      </c>
      <c r="E258" t="s">
        <v>43</v>
      </c>
      <c r="F258" s="1">
        <v>46052</v>
      </c>
      <c r="G258" s="1">
        <v>46066</v>
      </c>
      <c r="H258" s="1">
        <v>46056</v>
      </c>
      <c r="I258" s="1"/>
      <c r="J258" s="2">
        <v>297547.77</v>
      </c>
      <c r="K258" s="2">
        <v>241591.13</v>
      </c>
      <c r="L258" s="2">
        <v>644723.66</v>
      </c>
      <c r="M258">
        <v>372</v>
      </c>
      <c r="N258">
        <v>234</v>
      </c>
      <c r="O258" t="s">
        <v>26</v>
      </c>
      <c r="P258" s="2">
        <f>Tabela1[[#This Row],[orcamento_aprovado]]-Tabela1[[#This Row],[custo_real_acumulado]]</f>
        <v>55956.640000000014</v>
      </c>
      <c r="Q258" t="str">
        <f>IF(Tabela1[[#This Row],[data_fim_real]]="","",Tabela1[[#This Row],[data_fim_real]]-Tabela1[[#This Row],[data_inicio_real]])</f>
        <v/>
      </c>
    </row>
    <row r="259" spans="1:17" ht="16.5" x14ac:dyDescent="0.5">
      <c r="A259" t="s">
        <v>703</v>
      </c>
      <c r="B259" t="s">
        <v>704</v>
      </c>
      <c r="C259" t="s">
        <v>318</v>
      </c>
      <c r="D259" t="s">
        <v>58</v>
      </c>
      <c r="E259" t="s">
        <v>43</v>
      </c>
      <c r="F259" s="1">
        <v>46077</v>
      </c>
      <c r="G259" s="1">
        <v>46114</v>
      </c>
      <c r="H259" s="1">
        <v>46081</v>
      </c>
      <c r="I259" s="1"/>
      <c r="J259" s="2">
        <v>81840.87</v>
      </c>
      <c r="K259" s="2">
        <v>26826.34</v>
      </c>
      <c r="L259" s="2">
        <v>32072.55</v>
      </c>
      <c r="M259">
        <v>1108</v>
      </c>
      <c r="N259">
        <v>459</v>
      </c>
      <c r="O259" t="s">
        <v>34</v>
      </c>
      <c r="P259" s="2">
        <f>Tabela1[[#This Row],[orcamento_aprovado]]-Tabela1[[#This Row],[custo_real_acumulado]]</f>
        <v>55014.53</v>
      </c>
      <c r="Q259" t="str">
        <f>IF(Tabela1[[#This Row],[data_fim_real]]="","",Tabela1[[#This Row],[data_fim_real]]-Tabela1[[#This Row],[data_inicio_real]])</f>
        <v/>
      </c>
    </row>
    <row r="260" spans="1:17" ht="16.5" x14ac:dyDescent="0.5">
      <c r="A260" t="s">
        <v>705</v>
      </c>
      <c r="B260" t="s">
        <v>706</v>
      </c>
      <c r="C260" t="s">
        <v>265</v>
      </c>
      <c r="D260" t="s">
        <v>54</v>
      </c>
      <c r="E260" t="s">
        <v>42</v>
      </c>
      <c r="F260" s="1">
        <v>46234</v>
      </c>
      <c r="G260" s="1">
        <v>46356</v>
      </c>
      <c r="H260" s="1">
        <v>46259</v>
      </c>
      <c r="I260" s="1"/>
      <c r="J260" s="2">
        <v>156216.09</v>
      </c>
      <c r="K260" s="2">
        <v>121321.01</v>
      </c>
      <c r="L260" s="2">
        <v>64550.91</v>
      </c>
      <c r="M260">
        <v>1118</v>
      </c>
      <c r="N260">
        <v>709</v>
      </c>
      <c r="O260" t="s">
        <v>21</v>
      </c>
      <c r="P260" s="2">
        <f>Tabela1[[#This Row],[orcamento_aprovado]]-Tabela1[[#This Row],[custo_real_acumulado]]</f>
        <v>34895.08</v>
      </c>
      <c r="Q260" t="str">
        <f>IF(Tabela1[[#This Row],[data_fim_real]]="","",Tabela1[[#This Row],[data_fim_real]]-Tabela1[[#This Row],[data_inicio_real]])</f>
        <v/>
      </c>
    </row>
    <row r="261" spans="1:17" ht="16.5" x14ac:dyDescent="0.5">
      <c r="A261" t="s">
        <v>707</v>
      </c>
      <c r="B261" t="s">
        <v>708</v>
      </c>
      <c r="C261" t="s">
        <v>555</v>
      </c>
      <c r="D261" t="s">
        <v>38</v>
      </c>
      <c r="E261" t="s">
        <v>19</v>
      </c>
      <c r="F261" s="1">
        <v>46177</v>
      </c>
      <c r="G261" s="1">
        <v>46244</v>
      </c>
      <c r="H261" s="1">
        <v>46175</v>
      </c>
      <c r="I261" s="1"/>
      <c r="J261" s="2">
        <v>124114</v>
      </c>
      <c r="K261" s="2">
        <v>59565.55</v>
      </c>
      <c r="L261" s="2">
        <v>235118.9</v>
      </c>
      <c r="M261">
        <v>2523</v>
      </c>
      <c r="N261">
        <v>951</v>
      </c>
      <c r="O261" t="s">
        <v>26</v>
      </c>
      <c r="P261" s="2">
        <f>Tabela1[[#This Row],[orcamento_aprovado]]-Tabela1[[#This Row],[custo_real_acumulado]]</f>
        <v>64548.45</v>
      </c>
      <c r="Q261" t="str">
        <f>IF(Tabela1[[#This Row],[data_fim_real]]="","",Tabela1[[#This Row],[data_fim_real]]-Tabela1[[#This Row],[data_inicio_real]])</f>
        <v/>
      </c>
    </row>
    <row r="262" spans="1:17" ht="16.5" x14ac:dyDescent="0.5">
      <c r="A262" t="s">
        <v>709</v>
      </c>
      <c r="B262" t="s">
        <v>710</v>
      </c>
      <c r="C262" t="s">
        <v>211</v>
      </c>
      <c r="D262" t="s">
        <v>54</v>
      </c>
      <c r="E262" t="s">
        <v>43</v>
      </c>
      <c r="F262" s="1">
        <v>46070</v>
      </c>
      <c r="G262" s="1">
        <v>46180</v>
      </c>
      <c r="H262" s="1">
        <v>46074</v>
      </c>
      <c r="I262" s="1"/>
      <c r="J262" s="2">
        <v>71007.539999999994</v>
      </c>
      <c r="K262" s="2">
        <v>18317.22</v>
      </c>
      <c r="L262" s="2">
        <v>61319.54</v>
      </c>
      <c r="M262">
        <v>2493</v>
      </c>
      <c r="N262">
        <v>494</v>
      </c>
      <c r="O262" t="s">
        <v>34</v>
      </c>
      <c r="P262" s="2">
        <f>Tabela1[[#This Row],[orcamento_aprovado]]-Tabela1[[#This Row],[custo_real_acumulado]]</f>
        <v>52690.319999999992</v>
      </c>
      <c r="Q262" t="str">
        <f>IF(Tabela1[[#This Row],[data_fim_real]]="","",Tabela1[[#This Row],[data_fim_real]]-Tabela1[[#This Row],[data_inicio_real]])</f>
        <v/>
      </c>
    </row>
    <row r="263" spans="1:17" ht="16.5" x14ac:dyDescent="0.5">
      <c r="A263" t="s">
        <v>711</v>
      </c>
      <c r="B263" t="s">
        <v>712</v>
      </c>
      <c r="C263" t="s">
        <v>395</v>
      </c>
      <c r="D263" t="s">
        <v>25</v>
      </c>
      <c r="E263" t="s">
        <v>20</v>
      </c>
      <c r="F263" s="1">
        <v>46236</v>
      </c>
      <c r="G263" s="1">
        <v>46273</v>
      </c>
      <c r="H263" s="1">
        <v>46248</v>
      </c>
      <c r="I263" s="1"/>
      <c r="J263" s="2">
        <v>248419.04</v>
      </c>
      <c r="K263" s="2">
        <v>10669.81</v>
      </c>
      <c r="L263" s="2">
        <v>85856</v>
      </c>
      <c r="M263">
        <v>475</v>
      </c>
      <c r="N263">
        <v>20</v>
      </c>
      <c r="O263" t="s">
        <v>21</v>
      </c>
      <c r="P263" s="2">
        <f>Tabela1[[#This Row],[orcamento_aprovado]]-Tabela1[[#This Row],[custo_real_acumulado]]</f>
        <v>237749.23</v>
      </c>
      <c r="Q263" t="str">
        <f>IF(Tabela1[[#This Row],[data_fim_real]]="","",Tabela1[[#This Row],[data_fim_real]]-Tabela1[[#This Row],[data_inicio_real]])</f>
        <v/>
      </c>
    </row>
    <row r="264" spans="1:17" ht="16.5" x14ac:dyDescent="0.5">
      <c r="A264" t="s">
        <v>713</v>
      </c>
      <c r="B264" t="s">
        <v>714</v>
      </c>
      <c r="C264" t="s">
        <v>334</v>
      </c>
      <c r="D264" t="s">
        <v>25</v>
      </c>
      <c r="E264" t="s">
        <v>43</v>
      </c>
      <c r="F264" s="1">
        <v>46224</v>
      </c>
      <c r="G264" s="1">
        <v>46243</v>
      </c>
      <c r="H264" s="1">
        <v>46231</v>
      </c>
      <c r="I264" s="1"/>
      <c r="J264" s="2">
        <v>148627.68</v>
      </c>
      <c r="K264" s="2">
        <v>63377.03</v>
      </c>
      <c r="L264" s="2">
        <v>65128.11</v>
      </c>
      <c r="M264">
        <v>422</v>
      </c>
      <c r="N264">
        <v>166</v>
      </c>
      <c r="O264" t="s">
        <v>26</v>
      </c>
      <c r="P264" s="2">
        <f>Tabela1[[#This Row],[orcamento_aprovado]]-Tabela1[[#This Row],[custo_real_acumulado]]</f>
        <v>85250.65</v>
      </c>
      <c r="Q264" t="str">
        <f>IF(Tabela1[[#This Row],[data_fim_real]]="","",Tabela1[[#This Row],[data_fim_real]]-Tabela1[[#This Row],[data_inicio_real]])</f>
        <v/>
      </c>
    </row>
    <row r="265" spans="1:17" ht="16.5" x14ac:dyDescent="0.5">
      <c r="A265" t="s">
        <v>715</v>
      </c>
      <c r="B265" t="s">
        <v>716</v>
      </c>
      <c r="C265" t="s">
        <v>670</v>
      </c>
      <c r="D265" t="s">
        <v>50</v>
      </c>
      <c r="E265" t="s">
        <v>43</v>
      </c>
      <c r="F265" s="1">
        <v>46092</v>
      </c>
      <c r="G265" s="1">
        <v>46168</v>
      </c>
      <c r="H265" s="1">
        <v>46098</v>
      </c>
      <c r="I265" s="1"/>
      <c r="J265" s="2">
        <v>147294.96</v>
      </c>
      <c r="K265" s="2">
        <v>76792.06</v>
      </c>
      <c r="L265" s="2">
        <v>161732.95000000001</v>
      </c>
      <c r="M265">
        <v>3100</v>
      </c>
      <c r="N265">
        <v>1656</v>
      </c>
      <c r="O265" t="s">
        <v>34</v>
      </c>
      <c r="P265" s="2">
        <f>Tabela1[[#This Row],[orcamento_aprovado]]-Tabela1[[#This Row],[custo_real_acumulado]]</f>
        <v>70502.899999999994</v>
      </c>
      <c r="Q265" t="str">
        <f>IF(Tabela1[[#This Row],[data_fim_real]]="","",Tabela1[[#This Row],[data_fim_real]]-Tabela1[[#This Row],[data_inicio_real]])</f>
        <v/>
      </c>
    </row>
    <row r="266" spans="1:17" ht="16.5" x14ac:dyDescent="0.5">
      <c r="A266" t="s">
        <v>717</v>
      </c>
      <c r="B266" t="s">
        <v>718</v>
      </c>
      <c r="C266" t="s">
        <v>719</v>
      </c>
      <c r="D266" t="s">
        <v>33</v>
      </c>
      <c r="E266" t="s">
        <v>20</v>
      </c>
      <c r="F266" s="1">
        <v>46199</v>
      </c>
      <c r="G266" s="1">
        <v>46213</v>
      </c>
      <c r="H266" s="1">
        <v>46193</v>
      </c>
      <c r="I266" s="1"/>
      <c r="J266" s="2">
        <v>61980.46</v>
      </c>
      <c r="K266" s="2">
        <v>65811.05</v>
      </c>
      <c r="L266" s="2">
        <v>67864.89</v>
      </c>
      <c r="M266">
        <v>408</v>
      </c>
      <c r="N266">
        <v>398</v>
      </c>
      <c r="O266" t="s">
        <v>21</v>
      </c>
      <c r="P266" s="2">
        <f>Tabela1[[#This Row],[orcamento_aprovado]]-Tabela1[[#This Row],[custo_real_acumulado]]</f>
        <v>-3830.5900000000038</v>
      </c>
      <c r="Q266" t="str">
        <f>IF(Tabela1[[#This Row],[data_fim_real]]="","",Tabela1[[#This Row],[data_fim_real]]-Tabela1[[#This Row],[data_inicio_real]])</f>
        <v/>
      </c>
    </row>
    <row r="267" spans="1:17" ht="16.5" x14ac:dyDescent="0.5">
      <c r="A267" t="s">
        <v>720</v>
      </c>
      <c r="B267" t="s">
        <v>721</v>
      </c>
      <c r="C267" t="s">
        <v>722</v>
      </c>
      <c r="D267" t="s">
        <v>33</v>
      </c>
      <c r="E267" t="s">
        <v>19</v>
      </c>
      <c r="F267" s="1">
        <v>46340</v>
      </c>
      <c r="G267" s="1">
        <v>46371</v>
      </c>
      <c r="H267" s="1">
        <v>46349</v>
      </c>
      <c r="I267" s="1"/>
      <c r="J267" s="2">
        <v>94918.75</v>
      </c>
      <c r="K267" s="2">
        <v>37503.24</v>
      </c>
      <c r="L267" s="2">
        <v>75575.13</v>
      </c>
      <c r="M267">
        <v>539</v>
      </c>
      <c r="N267">
        <v>166</v>
      </c>
      <c r="O267" t="s">
        <v>26</v>
      </c>
      <c r="P267" s="2">
        <f>Tabela1[[#This Row],[orcamento_aprovado]]-Tabela1[[#This Row],[custo_real_acumulado]]</f>
        <v>57415.51</v>
      </c>
      <c r="Q267" t="str">
        <f>IF(Tabela1[[#This Row],[data_fim_real]]="","",Tabela1[[#This Row],[data_fim_real]]-Tabela1[[#This Row],[data_inicio_real]])</f>
        <v/>
      </c>
    </row>
    <row r="268" spans="1:17" ht="16.5" x14ac:dyDescent="0.5">
      <c r="A268" t="s">
        <v>723</v>
      </c>
      <c r="B268" t="s">
        <v>724</v>
      </c>
      <c r="C268" t="s">
        <v>301</v>
      </c>
      <c r="D268" t="s">
        <v>58</v>
      </c>
      <c r="E268" t="s">
        <v>43</v>
      </c>
      <c r="F268" s="1">
        <v>46365</v>
      </c>
      <c r="G268" s="1">
        <v>46387</v>
      </c>
      <c r="H268" s="1">
        <v>46386</v>
      </c>
      <c r="I268" s="1">
        <v>46387</v>
      </c>
      <c r="J268" s="2">
        <v>108623.77</v>
      </c>
      <c r="K268" s="2">
        <v>0</v>
      </c>
      <c r="L268" s="2">
        <v>135003.54</v>
      </c>
      <c r="M268">
        <v>466</v>
      </c>
      <c r="N268">
        <v>0</v>
      </c>
      <c r="O268" t="s">
        <v>34</v>
      </c>
      <c r="P268" s="2">
        <f>Tabela1[[#This Row],[orcamento_aprovado]]-Tabela1[[#This Row],[custo_real_acumulado]]</f>
        <v>108623.77</v>
      </c>
      <c r="Q268">
        <f>IF(Tabela1[[#This Row],[data_fim_real]]="","",Tabela1[[#This Row],[data_fim_real]]-Tabela1[[#This Row],[data_inicio_real]])</f>
        <v>1</v>
      </c>
    </row>
    <row r="269" spans="1:17" ht="16.5" x14ac:dyDescent="0.5">
      <c r="A269" t="s">
        <v>725</v>
      </c>
      <c r="B269" t="s">
        <v>726</v>
      </c>
      <c r="C269" t="s">
        <v>727</v>
      </c>
      <c r="D269" t="s">
        <v>18</v>
      </c>
      <c r="E269" t="s">
        <v>43</v>
      </c>
      <c r="F269" s="1">
        <v>46073</v>
      </c>
      <c r="G269" s="1">
        <v>46156</v>
      </c>
      <c r="H269" s="1">
        <v>46069</v>
      </c>
      <c r="I269" s="1"/>
      <c r="J269" s="2">
        <v>256702.67</v>
      </c>
      <c r="K269" s="2">
        <v>13586.64</v>
      </c>
      <c r="L269" s="2">
        <v>172750.42</v>
      </c>
      <c r="M269">
        <v>2800</v>
      </c>
      <c r="N269">
        <v>122</v>
      </c>
      <c r="O269" t="s">
        <v>21</v>
      </c>
      <c r="P269" s="2">
        <f>Tabela1[[#This Row],[orcamento_aprovado]]-Tabela1[[#This Row],[custo_real_acumulado]]</f>
        <v>243116.03000000003</v>
      </c>
      <c r="Q269" t="str">
        <f>IF(Tabela1[[#This Row],[data_fim_real]]="","",Tabela1[[#This Row],[data_fim_real]]-Tabela1[[#This Row],[data_inicio_real]])</f>
        <v/>
      </c>
    </row>
    <row r="270" spans="1:17" ht="16.5" x14ac:dyDescent="0.5">
      <c r="A270" t="s">
        <v>728</v>
      </c>
      <c r="B270" t="s">
        <v>729</v>
      </c>
      <c r="C270" t="s">
        <v>670</v>
      </c>
      <c r="D270" t="s">
        <v>33</v>
      </c>
      <c r="E270" t="s">
        <v>43</v>
      </c>
      <c r="F270" s="1">
        <v>46343</v>
      </c>
      <c r="G270" s="1">
        <v>46387</v>
      </c>
      <c r="H270" s="1">
        <v>46340</v>
      </c>
      <c r="I270" s="1"/>
      <c r="J270" s="2">
        <v>50000</v>
      </c>
      <c r="K270" s="2">
        <v>18224.91</v>
      </c>
      <c r="L270" s="2">
        <v>55517.48</v>
      </c>
      <c r="M270">
        <v>415</v>
      </c>
      <c r="N270">
        <v>129</v>
      </c>
      <c r="O270" t="s">
        <v>26</v>
      </c>
      <c r="P270" s="2">
        <f>Tabela1[[#This Row],[orcamento_aprovado]]-Tabela1[[#This Row],[custo_real_acumulado]]</f>
        <v>31775.09</v>
      </c>
      <c r="Q270" t="str">
        <f>IF(Tabela1[[#This Row],[data_fim_real]]="","",Tabela1[[#This Row],[data_fim_real]]-Tabela1[[#This Row],[data_inicio_real]])</f>
        <v/>
      </c>
    </row>
    <row r="271" spans="1:17" ht="16.5" x14ac:dyDescent="0.5">
      <c r="A271" t="s">
        <v>730</v>
      </c>
      <c r="B271" t="s">
        <v>731</v>
      </c>
      <c r="C271" t="s">
        <v>732</v>
      </c>
      <c r="D271" t="s">
        <v>54</v>
      </c>
      <c r="E271" t="s">
        <v>19</v>
      </c>
      <c r="F271" s="1">
        <v>46139</v>
      </c>
      <c r="G271" s="1">
        <v>46257</v>
      </c>
      <c r="H271" s="1">
        <v>46139</v>
      </c>
      <c r="I271" s="1"/>
      <c r="J271" s="2">
        <v>160058.82999999999</v>
      </c>
      <c r="K271" s="2">
        <v>158572.20000000001</v>
      </c>
      <c r="L271" s="2">
        <v>94785.08</v>
      </c>
      <c r="M271">
        <v>2314</v>
      </c>
      <c r="N271">
        <v>1665</v>
      </c>
      <c r="O271" t="s">
        <v>34</v>
      </c>
      <c r="P271" s="2">
        <f>Tabela1[[#This Row],[orcamento_aprovado]]-Tabela1[[#This Row],[custo_real_acumulado]]</f>
        <v>1486.6299999999756</v>
      </c>
      <c r="Q271" t="str">
        <f>IF(Tabela1[[#This Row],[data_fim_real]]="","",Tabela1[[#This Row],[data_fim_real]]-Tabela1[[#This Row],[data_inicio_real]])</f>
        <v/>
      </c>
    </row>
    <row r="272" spans="1:17" ht="16.5" x14ac:dyDescent="0.5">
      <c r="A272" t="s">
        <v>733</v>
      </c>
      <c r="B272" t="s">
        <v>734</v>
      </c>
      <c r="C272" t="s">
        <v>735</v>
      </c>
      <c r="D272" t="s">
        <v>50</v>
      </c>
      <c r="E272" t="s">
        <v>19</v>
      </c>
      <c r="F272" s="1">
        <v>46243</v>
      </c>
      <c r="G272" s="1">
        <v>46387</v>
      </c>
      <c r="H272" s="1">
        <v>46246</v>
      </c>
      <c r="I272" s="1"/>
      <c r="J272" s="2">
        <v>52432.43</v>
      </c>
      <c r="K272" s="2">
        <v>45380.36</v>
      </c>
      <c r="L272" s="2">
        <v>56642.6</v>
      </c>
      <c r="M272">
        <v>3375</v>
      </c>
      <c r="N272">
        <v>2607</v>
      </c>
      <c r="O272" t="s">
        <v>21</v>
      </c>
      <c r="P272" s="2">
        <f>Tabela1[[#This Row],[orcamento_aprovado]]-Tabela1[[#This Row],[custo_real_acumulado]]</f>
        <v>7052.07</v>
      </c>
      <c r="Q272" t="str">
        <f>IF(Tabela1[[#This Row],[data_fim_real]]="","",Tabela1[[#This Row],[data_fim_real]]-Tabela1[[#This Row],[data_inicio_real]])</f>
        <v/>
      </c>
    </row>
    <row r="273" spans="1:17" ht="16.5" x14ac:dyDescent="0.5">
      <c r="A273" t="s">
        <v>736</v>
      </c>
      <c r="B273" t="s">
        <v>737</v>
      </c>
      <c r="C273" t="s">
        <v>738</v>
      </c>
      <c r="D273" t="s">
        <v>38</v>
      </c>
      <c r="E273" t="s">
        <v>43</v>
      </c>
      <c r="F273" s="1">
        <v>46163</v>
      </c>
      <c r="G273" s="1">
        <v>46238</v>
      </c>
      <c r="H273" s="1">
        <v>46152</v>
      </c>
      <c r="I273" s="1">
        <v>46220</v>
      </c>
      <c r="J273" s="2">
        <v>50000</v>
      </c>
      <c r="K273" s="2">
        <v>55404.37</v>
      </c>
      <c r="L273" s="2">
        <v>85795.4</v>
      </c>
      <c r="M273">
        <v>1960</v>
      </c>
      <c r="N273">
        <v>1858</v>
      </c>
      <c r="O273" t="s">
        <v>26</v>
      </c>
      <c r="P273" s="2">
        <f>Tabela1[[#This Row],[orcamento_aprovado]]-Tabela1[[#This Row],[custo_real_acumulado]]</f>
        <v>-5404.3700000000026</v>
      </c>
      <c r="Q273">
        <f>IF(Tabela1[[#This Row],[data_fim_real]]="","",Tabela1[[#This Row],[data_fim_real]]-Tabela1[[#This Row],[data_inicio_real]])</f>
        <v>68</v>
      </c>
    </row>
    <row r="274" spans="1:17" ht="16.5" x14ac:dyDescent="0.5">
      <c r="A274" t="s">
        <v>739</v>
      </c>
      <c r="B274" t="s">
        <v>740</v>
      </c>
      <c r="C274" t="s">
        <v>677</v>
      </c>
      <c r="D274" t="s">
        <v>33</v>
      </c>
      <c r="E274" t="s">
        <v>19</v>
      </c>
      <c r="F274" s="1">
        <v>46355</v>
      </c>
      <c r="G274" s="1">
        <v>46387</v>
      </c>
      <c r="H274" s="1">
        <v>46360</v>
      </c>
      <c r="I274" s="1"/>
      <c r="J274" s="2">
        <v>132726.9</v>
      </c>
      <c r="K274" s="2">
        <v>67071.13</v>
      </c>
      <c r="L274" s="2">
        <v>125368.16</v>
      </c>
      <c r="M274">
        <v>631</v>
      </c>
      <c r="N274">
        <v>298</v>
      </c>
      <c r="O274" t="s">
        <v>34</v>
      </c>
      <c r="P274" s="2">
        <f>Tabela1[[#This Row],[orcamento_aprovado]]-Tabela1[[#This Row],[custo_real_acumulado]]</f>
        <v>65655.76999999999</v>
      </c>
      <c r="Q274" t="str">
        <f>IF(Tabela1[[#This Row],[data_fim_real]]="","",Tabela1[[#This Row],[data_fim_real]]-Tabela1[[#This Row],[data_inicio_real]])</f>
        <v/>
      </c>
    </row>
    <row r="275" spans="1:17" ht="16.5" x14ac:dyDescent="0.5">
      <c r="A275" t="s">
        <v>741</v>
      </c>
      <c r="B275" t="s">
        <v>742</v>
      </c>
      <c r="C275" t="s">
        <v>188</v>
      </c>
      <c r="D275" t="s">
        <v>58</v>
      </c>
      <c r="E275" t="s">
        <v>20</v>
      </c>
      <c r="F275" s="1">
        <v>46375</v>
      </c>
      <c r="G275" s="1">
        <v>46387</v>
      </c>
      <c r="H275" s="1">
        <v>46374</v>
      </c>
      <c r="I275" s="1">
        <v>46387</v>
      </c>
      <c r="J275" s="2">
        <v>140901.88</v>
      </c>
      <c r="K275" s="2">
        <v>65750.97</v>
      </c>
      <c r="L275" s="2">
        <v>224995.91</v>
      </c>
      <c r="M275">
        <v>192</v>
      </c>
      <c r="N275">
        <v>82</v>
      </c>
      <c r="O275" t="s">
        <v>21</v>
      </c>
      <c r="P275" s="2">
        <f>Tabela1[[#This Row],[orcamento_aprovado]]-Tabela1[[#This Row],[custo_real_acumulado]]</f>
        <v>75150.91</v>
      </c>
      <c r="Q275">
        <f>IF(Tabela1[[#This Row],[data_fim_real]]="","",Tabela1[[#This Row],[data_fim_real]]-Tabela1[[#This Row],[data_inicio_real]])</f>
        <v>13</v>
      </c>
    </row>
    <row r="276" spans="1:17" ht="16.5" x14ac:dyDescent="0.5">
      <c r="A276" t="s">
        <v>743</v>
      </c>
      <c r="B276" t="s">
        <v>744</v>
      </c>
      <c r="C276" t="s">
        <v>745</v>
      </c>
      <c r="D276" t="s">
        <v>142</v>
      </c>
      <c r="E276" t="s">
        <v>43</v>
      </c>
      <c r="F276" s="1">
        <v>46287</v>
      </c>
      <c r="G276" s="1">
        <v>46363</v>
      </c>
      <c r="H276" s="1">
        <v>46288</v>
      </c>
      <c r="I276" s="1"/>
      <c r="J276" s="2">
        <v>258445.03</v>
      </c>
      <c r="K276" s="2">
        <v>152323.89000000001</v>
      </c>
      <c r="L276" s="2">
        <v>499099.29</v>
      </c>
      <c r="M276">
        <v>1556</v>
      </c>
      <c r="N276">
        <v>688</v>
      </c>
      <c r="O276" t="s">
        <v>26</v>
      </c>
      <c r="P276" s="2">
        <f>Tabela1[[#This Row],[orcamento_aprovado]]-Tabela1[[#This Row],[custo_real_acumulado]]</f>
        <v>106121.13999999998</v>
      </c>
      <c r="Q276" t="str">
        <f>IF(Tabela1[[#This Row],[data_fim_real]]="","",Tabela1[[#This Row],[data_fim_real]]-Tabela1[[#This Row],[data_inicio_real]])</f>
        <v/>
      </c>
    </row>
    <row r="277" spans="1:17" ht="16.5" x14ac:dyDescent="0.5">
      <c r="A277" t="s">
        <v>746</v>
      </c>
      <c r="B277" t="s">
        <v>747</v>
      </c>
      <c r="C277" t="s">
        <v>748</v>
      </c>
      <c r="D277" t="s">
        <v>50</v>
      </c>
      <c r="E277" t="s">
        <v>43</v>
      </c>
      <c r="F277" s="1">
        <v>46115</v>
      </c>
      <c r="G277" s="1">
        <v>46218</v>
      </c>
      <c r="H277" s="1"/>
      <c r="I277" s="1"/>
      <c r="J277" s="2">
        <v>104668.93</v>
      </c>
      <c r="K277" s="2">
        <v>0</v>
      </c>
      <c r="L277" s="2">
        <v>200261.62</v>
      </c>
      <c r="M277">
        <v>1440</v>
      </c>
      <c r="N277">
        <v>0</v>
      </c>
      <c r="O277" t="s">
        <v>34</v>
      </c>
      <c r="P277" s="2">
        <f>Tabela1[[#This Row],[orcamento_aprovado]]-Tabela1[[#This Row],[custo_real_acumulado]]</f>
        <v>104668.93</v>
      </c>
      <c r="Q277" t="str">
        <f>IF(Tabela1[[#This Row],[data_fim_real]]="","",Tabela1[[#This Row],[data_fim_real]]-Tabela1[[#This Row],[data_inicio_real]])</f>
        <v/>
      </c>
    </row>
    <row r="278" spans="1:17" ht="16.5" x14ac:dyDescent="0.5">
      <c r="A278" t="s">
        <v>749</v>
      </c>
      <c r="B278" t="s">
        <v>750</v>
      </c>
      <c r="C278" t="s">
        <v>751</v>
      </c>
      <c r="D278" t="s">
        <v>54</v>
      </c>
      <c r="E278" t="s">
        <v>20</v>
      </c>
      <c r="F278" s="1">
        <v>46219</v>
      </c>
      <c r="G278" s="1">
        <v>46301</v>
      </c>
      <c r="H278" s="1">
        <v>46246</v>
      </c>
      <c r="I278" s="1"/>
      <c r="J278" s="2">
        <v>273843.65000000002</v>
      </c>
      <c r="K278" s="2">
        <v>210362.94</v>
      </c>
      <c r="L278" s="2">
        <v>136993.74</v>
      </c>
      <c r="M278">
        <v>2522</v>
      </c>
      <c r="N278">
        <v>1489</v>
      </c>
      <c r="O278" t="s">
        <v>21</v>
      </c>
      <c r="P278" s="2">
        <f>Tabela1[[#This Row],[orcamento_aprovado]]-Tabela1[[#This Row],[custo_real_acumulado]]</f>
        <v>63480.710000000021</v>
      </c>
      <c r="Q278" t="str">
        <f>IF(Tabela1[[#This Row],[data_fim_real]]="","",Tabela1[[#This Row],[data_fim_real]]-Tabela1[[#This Row],[data_inicio_real]])</f>
        <v/>
      </c>
    </row>
    <row r="279" spans="1:17" ht="16.5" x14ac:dyDescent="0.5">
      <c r="A279" t="s">
        <v>752</v>
      </c>
      <c r="B279" t="s">
        <v>753</v>
      </c>
      <c r="C279" t="s">
        <v>492</v>
      </c>
      <c r="D279" t="s">
        <v>142</v>
      </c>
      <c r="E279" t="s">
        <v>43</v>
      </c>
      <c r="F279" s="1">
        <v>46115</v>
      </c>
      <c r="G279" s="1">
        <v>46196</v>
      </c>
      <c r="H279" s="1">
        <v>46127</v>
      </c>
      <c r="I279" s="1">
        <v>46141</v>
      </c>
      <c r="J279" s="2">
        <v>77468.83</v>
      </c>
      <c r="K279" s="2">
        <v>9927.08</v>
      </c>
      <c r="L279" s="2">
        <v>103350.31</v>
      </c>
      <c r="M279">
        <v>619</v>
      </c>
      <c r="N279">
        <v>107</v>
      </c>
      <c r="O279" t="s">
        <v>26</v>
      </c>
      <c r="P279" s="2">
        <f>Tabela1[[#This Row],[orcamento_aprovado]]-Tabela1[[#This Row],[custo_real_acumulado]]</f>
        <v>67541.75</v>
      </c>
      <c r="Q279">
        <f>IF(Tabela1[[#This Row],[data_fim_real]]="","",Tabela1[[#This Row],[data_fim_real]]-Tabela1[[#This Row],[data_inicio_real]])</f>
        <v>14</v>
      </c>
    </row>
    <row r="280" spans="1:17" ht="16.5" x14ac:dyDescent="0.5">
      <c r="A280" t="s">
        <v>754</v>
      </c>
      <c r="B280" t="s">
        <v>755</v>
      </c>
      <c r="C280" t="s">
        <v>756</v>
      </c>
      <c r="D280" t="s">
        <v>58</v>
      </c>
      <c r="E280" t="s">
        <v>43</v>
      </c>
      <c r="F280" s="1">
        <v>46303</v>
      </c>
      <c r="G280" s="1">
        <v>46387</v>
      </c>
      <c r="H280" s="1">
        <v>46329</v>
      </c>
      <c r="I280" s="1"/>
      <c r="J280" s="2">
        <v>90665.34</v>
      </c>
      <c r="K280" s="2">
        <v>56624.56</v>
      </c>
      <c r="L280" s="2">
        <v>98714.31</v>
      </c>
      <c r="M280">
        <v>549</v>
      </c>
      <c r="N280">
        <v>338</v>
      </c>
      <c r="O280" t="s">
        <v>34</v>
      </c>
      <c r="P280" s="2">
        <f>Tabela1[[#This Row],[orcamento_aprovado]]-Tabela1[[#This Row],[custo_real_acumulado]]</f>
        <v>34040.78</v>
      </c>
      <c r="Q280" t="str">
        <f>IF(Tabela1[[#This Row],[data_fim_real]]="","",Tabela1[[#This Row],[data_fim_real]]-Tabela1[[#This Row],[data_inicio_real]])</f>
        <v/>
      </c>
    </row>
    <row r="281" spans="1:17" ht="16.5" x14ac:dyDescent="0.5">
      <c r="A281" t="s">
        <v>757</v>
      </c>
      <c r="B281" t="s">
        <v>758</v>
      </c>
      <c r="C281" t="s">
        <v>759</v>
      </c>
      <c r="D281" t="s">
        <v>78</v>
      </c>
      <c r="E281" t="s">
        <v>42</v>
      </c>
      <c r="F281" s="1">
        <v>46367</v>
      </c>
      <c r="G281" s="1">
        <v>46381</v>
      </c>
      <c r="H281" s="1">
        <v>46371</v>
      </c>
      <c r="I281" s="1"/>
      <c r="J281" s="2">
        <v>89532.26</v>
      </c>
      <c r="K281" s="2">
        <v>65459.27</v>
      </c>
      <c r="L281" s="2">
        <v>61603.57</v>
      </c>
      <c r="M281">
        <v>360</v>
      </c>
      <c r="N281">
        <v>220</v>
      </c>
      <c r="O281" t="s">
        <v>21</v>
      </c>
      <c r="P281" s="2">
        <f>Tabela1[[#This Row],[orcamento_aprovado]]-Tabela1[[#This Row],[custo_real_acumulado]]</f>
        <v>24072.989999999998</v>
      </c>
      <c r="Q281" t="str">
        <f>IF(Tabela1[[#This Row],[data_fim_real]]="","",Tabela1[[#This Row],[data_fim_real]]-Tabela1[[#This Row],[data_inicio_real]])</f>
        <v/>
      </c>
    </row>
    <row r="282" spans="1:17" ht="16.5" x14ac:dyDescent="0.5">
      <c r="A282" t="s">
        <v>760</v>
      </c>
      <c r="B282" t="s">
        <v>761</v>
      </c>
      <c r="C282" t="s">
        <v>762</v>
      </c>
      <c r="D282" t="s">
        <v>38</v>
      </c>
      <c r="E282" t="s">
        <v>43</v>
      </c>
      <c r="F282" s="1">
        <v>46292</v>
      </c>
      <c r="G282" s="1">
        <v>46378</v>
      </c>
      <c r="H282" s="1">
        <v>46296</v>
      </c>
      <c r="I282" s="1"/>
      <c r="J282" s="2">
        <v>85374.05</v>
      </c>
      <c r="K282" s="2">
        <v>36026.39</v>
      </c>
      <c r="L282" s="2">
        <v>86412.83</v>
      </c>
      <c r="M282">
        <v>1818</v>
      </c>
      <c r="N282">
        <v>711</v>
      </c>
      <c r="O282" t="s">
        <v>26</v>
      </c>
      <c r="P282" s="2">
        <f>Tabela1[[#This Row],[orcamento_aprovado]]-Tabela1[[#This Row],[custo_real_acumulado]]</f>
        <v>49347.66</v>
      </c>
      <c r="Q282" t="str">
        <f>IF(Tabela1[[#This Row],[data_fim_real]]="","",Tabela1[[#This Row],[data_fim_real]]-Tabela1[[#This Row],[data_inicio_real]])</f>
        <v/>
      </c>
    </row>
    <row r="283" spans="1:17" ht="16.5" x14ac:dyDescent="0.5">
      <c r="A283" t="s">
        <v>763</v>
      </c>
      <c r="B283" t="s">
        <v>764</v>
      </c>
      <c r="C283" t="s">
        <v>765</v>
      </c>
      <c r="D283" t="s">
        <v>25</v>
      </c>
      <c r="E283" t="s">
        <v>43</v>
      </c>
      <c r="F283" s="1">
        <v>46311</v>
      </c>
      <c r="G283" s="1">
        <v>46387</v>
      </c>
      <c r="H283" s="1">
        <v>46334</v>
      </c>
      <c r="I283" s="1"/>
      <c r="J283" s="2">
        <v>96971.93</v>
      </c>
      <c r="K283" s="2">
        <v>65760.58</v>
      </c>
      <c r="L283" s="2">
        <v>168118.47</v>
      </c>
      <c r="M283">
        <v>2108</v>
      </c>
      <c r="N283">
        <v>1317</v>
      </c>
      <c r="O283" t="s">
        <v>34</v>
      </c>
      <c r="P283" s="2">
        <f>Tabela1[[#This Row],[orcamento_aprovado]]-Tabela1[[#This Row],[custo_real_acumulado]]</f>
        <v>31211.349999999991</v>
      </c>
      <c r="Q283" t="str">
        <f>IF(Tabela1[[#This Row],[data_fim_real]]="","",Tabela1[[#This Row],[data_fim_real]]-Tabela1[[#This Row],[data_inicio_real]])</f>
        <v/>
      </c>
    </row>
    <row r="284" spans="1:17" ht="16.5" x14ac:dyDescent="0.5">
      <c r="A284" t="s">
        <v>766</v>
      </c>
      <c r="B284" t="s">
        <v>767</v>
      </c>
      <c r="C284" t="s">
        <v>145</v>
      </c>
      <c r="D284" t="s">
        <v>58</v>
      </c>
      <c r="E284" t="s">
        <v>43</v>
      </c>
      <c r="F284" s="1">
        <v>46028</v>
      </c>
      <c r="G284" s="1">
        <v>46126</v>
      </c>
      <c r="H284" s="1">
        <v>46026</v>
      </c>
      <c r="I284" s="1"/>
      <c r="J284" s="2">
        <v>66299.88</v>
      </c>
      <c r="K284" s="2">
        <v>42278.07</v>
      </c>
      <c r="L284" s="2">
        <v>50269.49</v>
      </c>
      <c r="M284">
        <v>1935</v>
      </c>
      <c r="N284">
        <v>1714</v>
      </c>
      <c r="O284" t="s">
        <v>21</v>
      </c>
      <c r="P284" s="2">
        <f>Tabela1[[#This Row],[orcamento_aprovado]]-Tabela1[[#This Row],[custo_real_acumulado]]</f>
        <v>24021.810000000005</v>
      </c>
      <c r="Q284" t="str">
        <f>IF(Tabela1[[#This Row],[data_fim_real]]="","",Tabela1[[#This Row],[data_fim_real]]-Tabela1[[#This Row],[data_inicio_real]])</f>
        <v/>
      </c>
    </row>
    <row r="285" spans="1:17" ht="16.5" x14ac:dyDescent="0.5">
      <c r="A285" t="s">
        <v>768</v>
      </c>
      <c r="B285" t="s">
        <v>769</v>
      </c>
      <c r="C285" t="s">
        <v>138</v>
      </c>
      <c r="D285" t="s">
        <v>38</v>
      </c>
      <c r="E285" t="s">
        <v>19</v>
      </c>
      <c r="F285" s="1">
        <v>46265</v>
      </c>
      <c r="G285" s="1">
        <v>46334</v>
      </c>
      <c r="H285" s="1">
        <v>46265</v>
      </c>
      <c r="I285" s="1">
        <v>46320</v>
      </c>
      <c r="J285" s="2">
        <v>50000</v>
      </c>
      <c r="K285" s="2">
        <v>45785.74</v>
      </c>
      <c r="L285" s="2">
        <v>89400.34</v>
      </c>
      <c r="M285">
        <v>1711</v>
      </c>
      <c r="N285">
        <v>1422</v>
      </c>
      <c r="O285" t="s">
        <v>26</v>
      </c>
      <c r="P285" s="2">
        <f>Tabela1[[#This Row],[orcamento_aprovado]]-Tabela1[[#This Row],[custo_real_acumulado]]</f>
        <v>4214.260000000002</v>
      </c>
      <c r="Q285">
        <f>IF(Tabela1[[#This Row],[data_fim_real]]="","",Tabela1[[#This Row],[data_fim_real]]-Tabela1[[#This Row],[data_inicio_real]])</f>
        <v>55</v>
      </c>
    </row>
    <row r="286" spans="1:17" ht="16.5" x14ac:dyDescent="0.5">
      <c r="A286" t="s">
        <v>770</v>
      </c>
      <c r="B286" t="s">
        <v>771</v>
      </c>
      <c r="C286" t="s">
        <v>735</v>
      </c>
      <c r="D286" t="s">
        <v>78</v>
      </c>
      <c r="E286" t="s">
        <v>43</v>
      </c>
      <c r="F286" s="1">
        <v>46056</v>
      </c>
      <c r="G286" s="1">
        <v>46123</v>
      </c>
      <c r="H286" s="1">
        <v>46061</v>
      </c>
      <c r="I286" s="1"/>
      <c r="J286" s="2">
        <v>104287.8</v>
      </c>
      <c r="K286" s="2">
        <v>113599.37</v>
      </c>
      <c r="L286" s="2">
        <v>193692.4</v>
      </c>
      <c r="M286">
        <v>554</v>
      </c>
      <c r="N286">
        <v>426</v>
      </c>
      <c r="O286" t="s">
        <v>34</v>
      </c>
      <c r="P286" s="2">
        <f>Tabela1[[#This Row],[orcamento_aprovado]]-Tabela1[[#This Row],[custo_real_acumulado]]</f>
        <v>-9311.5699999999924</v>
      </c>
      <c r="Q286" t="str">
        <f>IF(Tabela1[[#This Row],[data_fim_real]]="","",Tabela1[[#This Row],[data_fim_real]]-Tabela1[[#This Row],[data_inicio_real]])</f>
        <v/>
      </c>
    </row>
    <row r="287" spans="1:17" ht="16.5" x14ac:dyDescent="0.5">
      <c r="A287" t="s">
        <v>772</v>
      </c>
      <c r="B287" t="s">
        <v>773</v>
      </c>
      <c r="C287" t="s">
        <v>386</v>
      </c>
      <c r="D287" t="s">
        <v>33</v>
      </c>
      <c r="E287" t="s">
        <v>43</v>
      </c>
      <c r="F287" s="1">
        <v>46177</v>
      </c>
      <c r="G287" s="1">
        <v>46220</v>
      </c>
      <c r="H287" s="1">
        <v>46185</v>
      </c>
      <c r="I287" s="1">
        <v>46235</v>
      </c>
      <c r="J287" s="2">
        <v>50000</v>
      </c>
      <c r="K287" s="2">
        <v>58428.81</v>
      </c>
      <c r="L287" s="2">
        <v>85249.58</v>
      </c>
      <c r="M287">
        <v>225</v>
      </c>
      <c r="N287">
        <v>205</v>
      </c>
      <c r="O287" t="s">
        <v>21</v>
      </c>
      <c r="P287" s="2">
        <f>Tabela1[[#This Row],[orcamento_aprovado]]-Tabela1[[#This Row],[custo_real_acumulado]]</f>
        <v>-8428.8099999999977</v>
      </c>
      <c r="Q287">
        <f>IF(Tabela1[[#This Row],[data_fim_real]]="","",Tabela1[[#This Row],[data_fim_real]]-Tabela1[[#This Row],[data_inicio_real]])</f>
        <v>50</v>
      </c>
    </row>
    <row r="288" spans="1:17" ht="16.5" x14ac:dyDescent="0.5">
      <c r="A288" t="s">
        <v>774</v>
      </c>
      <c r="B288" t="s">
        <v>775</v>
      </c>
      <c r="C288" t="s">
        <v>135</v>
      </c>
      <c r="D288" t="s">
        <v>58</v>
      </c>
      <c r="E288" t="s">
        <v>42</v>
      </c>
      <c r="F288" s="1">
        <v>46073</v>
      </c>
      <c r="G288" s="1">
        <v>46134</v>
      </c>
      <c r="H288" s="1">
        <v>46074</v>
      </c>
      <c r="I288" s="1"/>
      <c r="J288" s="2">
        <v>50000</v>
      </c>
      <c r="K288" s="2">
        <v>24582.240000000002</v>
      </c>
      <c r="L288" s="2">
        <v>87534.01</v>
      </c>
      <c r="M288">
        <v>1321</v>
      </c>
      <c r="N288">
        <v>493</v>
      </c>
      <c r="O288" t="s">
        <v>26</v>
      </c>
      <c r="P288" s="2">
        <f>Tabela1[[#This Row],[orcamento_aprovado]]-Tabela1[[#This Row],[custo_real_acumulado]]</f>
        <v>25417.759999999998</v>
      </c>
      <c r="Q288" t="str">
        <f>IF(Tabela1[[#This Row],[data_fim_real]]="","",Tabela1[[#This Row],[data_fim_real]]-Tabela1[[#This Row],[data_inicio_real]])</f>
        <v/>
      </c>
    </row>
    <row r="289" spans="1:17" ht="16.5" x14ac:dyDescent="0.5">
      <c r="A289" t="s">
        <v>776</v>
      </c>
      <c r="B289" t="s">
        <v>777</v>
      </c>
      <c r="C289" t="s">
        <v>460</v>
      </c>
      <c r="D289" t="s">
        <v>18</v>
      </c>
      <c r="E289" t="s">
        <v>43</v>
      </c>
      <c r="F289" s="1">
        <v>46182</v>
      </c>
      <c r="G289" s="1">
        <v>46293</v>
      </c>
      <c r="H289" s="1">
        <v>46171</v>
      </c>
      <c r="I289" s="1"/>
      <c r="J289" s="2">
        <v>71822.55</v>
      </c>
      <c r="K289" s="2">
        <v>19546.27</v>
      </c>
      <c r="L289" s="2">
        <v>73692.42</v>
      </c>
      <c r="M289">
        <v>6112</v>
      </c>
      <c r="N289">
        <v>1444</v>
      </c>
      <c r="O289" t="s">
        <v>34</v>
      </c>
      <c r="P289" s="2">
        <f>Tabela1[[#This Row],[orcamento_aprovado]]-Tabela1[[#This Row],[custo_real_acumulado]]</f>
        <v>52276.28</v>
      </c>
      <c r="Q289" t="str">
        <f>IF(Tabela1[[#This Row],[data_fim_real]]="","",Tabela1[[#This Row],[data_fim_real]]-Tabela1[[#This Row],[data_inicio_real]])</f>
        <v/>
      </c>
    </row>
    <row r="290" spans="1:17" ht="16.5" x14ac:dyDescent="0.5">
      <c r="A290" t="s">
        <v>778</v>
      </c>
      <c r="B290" t="s">
        <v>779</v>
      </c>
      <c r="C290" t="s">
        <v>41</v>
      </c>
      <c r="D290" t="s">
        <v>78</v>
      </c>
      <c r="E290" t="s">
        <v>20</v>
      </c>
      <c r="F290" s="1">
        <v>46075</v>
      </c>
      <c r="G290" s="1">
        <v>46132</v>
      </c>
      <c r="H290" s="1">
        <v>46083</v>
      </c>
      <c r="I290" s="1">
        <v>46175</v>
      </c>
      <c r="J290" s="2">
        <v>87898.559999999998</v>
      </c>
      <c r="K290" s="2">
        <v>81048.05</v>
      </c>
      <c r="L290" s="2">
        <v>44717.51</v>
      </c>
      <c r="M290">
        <v>1520</v>
      </c>
      <c r="N290">
        <v>1587</v>
      </c>
      <c r="O290" t="s">
        <v>21</v>
      </c>
      <c r="P290" s="2">
        <f>Tabela1[[#This Row],[orcamento_aprovado]]-Tabela1[[#This Row],[custo_real_acumulado]]</f>
        <v>6850.5099999999948</v>
      </c>
      <c r="Q290">
        <f>IF(Tabela1[[#This Row],[data_fim_real]]="","",Tabela1[[#This Row],[data_fim_real]]-Tabela1[[#This Row],[data_inicio_real]])</f>
        <v>92</v>
      </c>
    </row>
    <row r="291" spans="1:17" ht="16.5" x14ac:dyDescent="0.5">
      <c r="A291" t="s">
        <v>780</v>
      </c>
      <c r="B291" t="s">
        <v>781</v>
      </c>
      <c r="C291" t="s">
        <v>782</v>
      </c>
      <c r="D291" t="s">
        <v>50</v>
      </c>
      <c r="E291" t="s">
        <v>20</v>
      </c>
      <c r="F291" s="1">
        <v>46219</v>
      </c>
      <c r="G291" s="1">
        <v>46272</v>
      </c>
      <c r="H291" s="1">
        <v>46209</v>
      </c>
      <c r="I291" s="1">
        <v>46258</v>
      </c>
      <c r="J291" s="2">
        <v>79919.070000000007</v>
      </c>
      <c r="K291" s="2">
        <v>97048.16</v>
      </c>
      <c r="L291" s="2">
        <v>24893.94</v>
      </c>
      <c r="M291">
        <v>3278</v>
      </c>
      <c r="N291">
        <v>3349</v>
      </c>
      <c r="O291" t="s">
        <v>26</v>
      </c>
      <c r="P291" s="2">
        <f>Tabela1[[#This Row],[orcamento_aprovado]]-Tabela1[[#This Row],[custo_real_acumulado]]</f>
        <v>-17129.089999999997</v>
      </c>
      <c r="Q291">
        <f>IF(Tabela1[[#This Row],[data_fim_real]]="","",Tabela1[[#This Row],[data_fim_real]]-Tabela1[[#This Row],[data_inicio_real]])</f>
        <v>49</v>
      </c>
    </row>
    <row r="292" spans="1:17" ht="16.5" x14ac:dyDescent="0.5">
      <c r="A292" t="s">
        <v>783</v>
      </c>
      <c r="B292" t="s">
        <v>784</v>
      </c>
      <c r="C292" t="s">
        <v>785</v>
      </c>
      <c r="D292" t="s">
        <v>18</v>
      </c>
      <c r="E292" t="s">
        <v>43</v>
      </c>
      <c r="F292" s="1">
        <v>46072</v>
      </c>
      <c r="G292" s="1">
        <v>46098</v>
      </c>
      <c r="H292" s="1">
        <v>46076</v>
      </c>
      <c r="I292" s="1">
        <v>46091</v>
      </c>
      <c r="J292" s="2">
        <v>50000</v>
      </c>
      <c r="K292" s="2">
        <v>57696.47</v>
      </c>
      <c r="L292" s="2">
        <v>47188.23</v>
      </c>
      <c r="M292">
        <v>165</v>
      </c>
      <c r="N292">
        <v>181</v>
      </c>
      <c r="O292" t="s">
        <v>34</v>
      </c>
      <c r="P292" s="2">
        <f>Tabela1[[#This Row],[orcamento_aprovado]]-Tabela1[[#This Row],[custo_real_acumulado]]</f>
        <v>-7696.4700000000012</v>
      </c>
      <c r="Q292">
        <f>IF(Tabela1[[#This Row],[data_fim_real]]="","",Tabela1[[#This Row],[data_fim_real]]-Tabela1[[#This Row],[data_inicio_real]])</f>
        <v>15</v>
      </c>
    </row>
    <row r="293" spans="1:17" ht="16.5" x14ac:dyDescent="0.5">
      <c r="A293" t="s">
        <v>786</v>
      </c>
      <c r="B293" t="s">
        <v>787</v>
      </c>
      <c r="C293" t="s">
        <v>788</v>
      </c>
      <c r="D293" t="s">
        <v>71</v>
      </c>
      <c r="E293" t="s">
        <v>20</v>
      </c>
      <c r="F293" s="1">
        <v>46167</v>
      </c>
      <c r="G293" s="1">
        <v>46236</v>
      </c>
      <c r="H293" s="1">
        <v>46177</v>
      </c>
      <c r="I293" s="1"/>
      <c r="J293" s="2">
        <v>91000.84</v>
      </c>
      <c r="K293" s="2">
        <v>57996.97</v>
      </c>
      <c r="L293" s="2">
        <v>88101.08</v>
      </c>
      <c r="M293">
        <v>1486</v>
      </c>
      <c r="N293">
        <v>1030</v>
      </c>
      <c r="O293" t="s">
        <v>21</v>
      </c>
      <c r="P293" s="2">
        <f>Tabela1[[#This Row],[orcamento_aprovado]]-Tabela1[[#This Row],[custo_real_acumulado]]</f>
        <v>33003.869999999995</v>
      </c>
      <c r="Q293" t="str">
        <f>IF(Tabela1[[#This Row],[data_fim_real]]="","",Tabela1[[#This Row],[data_fim_real]]-Tabela1[[#This Row],[data_inicio_real]])</f>
        <v/>
      </c>
    </row>
    <row r="294" spans="1:17" ht="16.5" x14ac:dyDescent="0.5">
      <c r="A294" t="s">
        <v>789</v>
      </c>
      <c r="B294" t="s">
        <v>790</v>
      </c>
      <c r="C294" t="s">
        <v>694</v>
      </c>
      <c r="D294" t="s">
        <v>25</v>
      </c>
      <c r="E294" t="s">
        <v>20</v>
      </c>
      <c r="F294" s="1">
        <v>46056</v>
      </c>
      <c r="G294" s="1">
        <v>46136</v>
      </c>
      <c r="H294" s="1">
        <v>46064</v>
      </c>
      <c r="I294" s="1"/>
      <c r="J294" s="2">
        <v>162302.54999999999</v>
      </c>
      <c r="K294" s="2">
        <v>142685.32</v>
      </c>
      <c r="L294" s="2">
        <v>64499.13</v>
      </c>
      <c r="M294">
        <v>734</v>
      </c>
      <c r="N294">
        <v>597</v>
      </c>
      <c r="O294" t="s">
        <v>26</v>
      </c>
      <c r="P294" s="2">
        <f>Tabela1[[#This Row],[orcamento_aprovado]]-Tabela1[[#This Row],[custo_real_acumulado]]</f>
        <v>19617.229999999981</v>
      </c>
      <c r="Q294" t="str">
        <f>IF(Tabela1[[#This Row],[data_fim_real]]="","",Tabela1[[#This Row],[data_fim_real]]-Tabela1[[#This Row],[data_inicio_real]])</f>
        <v/>
      </c>
    </row>
    <row r="295" spans="1:17" ht="16.5" x14ac:dyDescent="0.5">
      <c r="A295" t="s">
        <v>791</v>
      </c>
      <c r="B295" t="s">
        <v>792</v>
      </c>
      <c r="C295" t="s">
        <v>697</v>
      </c>
      <c r="D295" t="s">
        <v>71</v>
      </c>
      <c r="E295" t="s">
        <v>43</v>
      </c>
      <c r="F295" s="1">
        <v>46180</v>
      </c>
      <c r="G295" s="1">
        <v>46205</v>
      </c>
      <c r="H295" s="1">
        <v>46185</v>
      </c>
      <c r="I295" s="1"/>
      <c r="J295" s="2">
        <v>50213.88</v>
      </c>
      <c r="K295" s="2">
        <v>39281.33</v>
      </c>
      <c r="L295" s="2">
        <v>107348</v>
      </c>
      <c r="M295">
        <v>546</v>
      </c>
      <c r="N295">
        <v>328</v>
      </c>
      <c r="O295" t="s">
        <v>34</v>
      </c>
      <c r="P295" s="2">
        <f>Tabela1[[#This Row],[orcamento_aprovado]]-Tabela1[[#This Row],[custo_real_acumulado]]</f>
        <v>10932.549999999996</v>
      </c>
      <c r="Q295" t="str">
        <f>IF(Tabela1[[#This Row],[data_fim_real]]="","",Tabela1[[#This Row],[data_fim_real]]-Tabela1[[#This Row],[data_inicio_real]])</f>
        <v/>
      </c>
    </row>
    <row r="296" spans="1:17" ht="16.5" x14ac:dyDescent="0.5">
      <c r="A296" t="s">
        <v>793</v>
      </c>
      <c r="B296" t="s">
        <v>237</v>
      </c>
      <c r="C296" t="s">
        <v>794</v>
      </c>
      <c r="D296" t="s">
        <v>25</v>
      </c>
      <c r="E296" t="s">
        <v>19</v>
      </c>
      <c r="F296" s="1">
        <v>46338</v>
      </c>
      <c r="G296" s="1">
        <v>46387</v>
      </c>
      <c r="H296" s="1">
        <v>46330</v>
      </c>
      <c r="I296" s="1"/>
      <c r="J296" s="2">
        <v>260922.53</v>
      </c>
      <c r="K296" s="2">
        <v>140282.94</v>
      </c>
      <c r="L296" s="2">
        <v>375853.08</v>
      </c>
      <c r="M296">
        <v>2035</v>
      </c>
      <c r="N296">
        <v>1018</v>
      </c>
      <c r="O296" t="s">
        <v>21</v>
      </c>
      <c r="P296" s="2">
        <f>Tabela1[[#This Row],[orcamento_aprovado]]-Tabela1[[#This Row],[custo_real_acumulado]]</f>
        <v>120639.59</v>
      </c>
      <c r="Q296" t="str">
        <f>IF(Tabela1[[#This Row],[data_fim_real]]="","",Tabela1[[#This Row],[data_fim_real]]-Tabela1[[#This Row],[data_inicio_real]])</f>
        <v/>
      </c>
    </row>
    <row r="297" spans="1:17" ht="16.5" x14ac:dyDescent="0.5">
      <c r="A297" t="s">
        <v>795</v>
      </c>
      <c r="B297" t="s">
        <v>796</v>
      </c>
      <c r="C297" t="s">
        <v>321</v>
      </c>
      <c r="D297" t="s">
        <v>50</v>
      </c>
      <c r="E297" t="s">
        <v>19</v>
      </c>
      <c r="F297" s="1">
        <v>46023</v>
      </c>
      <c r="G297" s="1">
        <v>46133</v>
      </c>
      <c r="H297" s="1"/>
      <c r="I297" s="1"/>
      <c r="J297" s="2">
        <v>63596.67</v>
      </c>
      <c r="K297" s="2">
        <v>0</v>
      </c>
      <c r="L297" s="2">
        <v>66643.429999999993</v>
      </c>
      <c r="M297">
        <v>2680</v>
      </c>
      <c r="N297">
        <v>0</v>
      </c>
      <c r="O297" t="s">
        <v>26</v>
      </c>
      <c r="P297" s="2">
        <f>Tabela1[[#This Row],[orcamento_aprovado]]-Tabela1[[#This Row],[custo_real_acumulado]]</f>
        <v>63596.67</v>
      </c>
      <c r="Q297" t="str">
        <f>IF(Tabela1[[#This Row],[data_fim_real]]="","",Tabela1[[#This Row],[data_fim_real]]-Tabela1[[#This Row],[data_inicio_real]])</f>
        <v/>
      </c>
    </row>
    <row r="298" spans="1:17" ht="16.5" x14ac:dyDescent="0.5">
      <c r="A298" t="s">
        <v>797</v>
      </c>
      <c r="B298" t="s">
        <v>798</v>
      </c>
      <c r="C298" t="s">
        <v>463</v>
      </c>
      <c r="D298" t="s">
        <v>50</v>
      </c>
      <c r="E298" t="s">
        <v>19</v>
      </c>
      <c r="F298" s="1">
        <v>46236</v>
      </c>
      <c r="G298" s="1">
        <v>46268</v>
      </c>
      <c r="H298" s="1">
        <v>46236</v>
      </c>
      <c r="I298" s="1"/>
      <c r="J298" s="2">
        <v>429544.48</v>
      </c>
      <c r="K298" s="2">
        <v>294049.05</v>
      </c>
      <c r="L298" s="2">
        <v>301676.45</v>
      </c>
      <c r="M298">
        <v>1043</v>
      </c>
      <c r="N298">
        <v>758</v>
      </c>
      <c r="O298" t="s">
        <v>34</v>
      </c>
      <c r="P298" s="2">
        <f>Tabela1[[#This Row],[orcamento_aprovado]]-Tabela1[[#This Row],[custo_real_acumulado]]</f>
        <v>135495.43</v>
      </c>
      <c r="Q298" t="str">
        <f>IF(Tabela1[[#This Row],[data_fim_real]]="","",Tabela1[[#This Row],[data_fim_real]]-Tabela1[[#This Row],[data_inicio_real]])</f>
        <v/>
      </c>
    </row>
    <row r="299" spans="1:17" ht="16.5" x14ac:dyDescent="0.5">
      <c r="A299" t="s">
        <v>799</v>
      </c>
      <c r="B299" t="s">
        <v>800</v>
      </c>
      <c r="C299" t="s">
        <v>512</v>
      </c>
      <c r="D299" t="s">
        <v>71</v>
      </c>
      <c r="E299" t="s">
        <v>43</v>
      </c>
      <c r="F299" s="1">
        <v>46204</v>
      </c>
      <c r="G299" s="1">
        <v>46219</v>
      </c>
      <c r="H299" s="1">
        <v>46208</v>
      </c>
      <c r="I299" s="1"/>
      <c r="J299" s="2">
        <v>56170.23</v>
      </c>
      <c r="K299" s="2">
        <v>26868.74</v>
      </c>
      <c r="L299" s="2">
        <v>80947.37</v>
      </c>
      <c r="M299">
        <v>449</v>
      </c>
      <c r="N299">
        <v>177</v>
      </c>
      <c r="O299" t="s">
        <v>21</v>
      </c>
      <c r="P299" s="2">
        <f>Tabela1[[#This Row],[orcamento_aprovado]]-Tabela1[[#This Row],[custo_real_acumulado]]</f>
        <v>29301.49</v>
      </c>
      <c r="Q299" t="str">
        <f>IF(Tabela1[[#This Row],[data_fim_real]]="","",Tabela1[[#This Row],[data_fim_real]]-Tabela1[[#This Row],[data_inicio_real]])</f>
        <v/>
      </c>
    </row>
    <row r="300" spans="1:17" ht="16.5" x14ac:dyDescent="0.5">
      <c r="A300" t="s">
        <v>801</v>
      </c>
      <c r="B300" t="s">
        <v>802</v>
      </c>
      <c r="C300" t="s">
        <v>803</v>
      </c>
      <c r="D300" t="s">
        <v>142</v>
      </c>
      <c r="E300" t="s">
        <v>19</v>
      </c>
      <c r="F300" s="1">
        <v>46095</v>
      </c>
      <c r="G300" s="1">
        <v>46209</v>
      </c>
      <c r="H300" s="1">
        <v>46113</v>
      </c>
      <c r="I300" s="1"/>
      <c r="J300" s="2">
        <v>730376.93</v>
      </c>
      <c r="K300" s="2">
        <v>333365.15999999997</v>
      </c>
      <c r="L300" s="2">
        <v>939771.7</v>
      </c>
      <c r="M300">
        <v>2173</v>
      </c>
      <c r="N300">
        <v>851</v>
      </c>
      <c r="O300" t="s">
        <v>26</v>
      </c>
      <c r="P300" s="2">
        <f>Tabela1[[#This Row],[orcamento_aprovado]]-Tabela1[[#This Row],[custo_real_acumulado]]</f>
        <v>397011.77000000008</v>
      </c>
      <c r="Q300" t="str">
        <f>IF(Tabela1[[#This Row],[data_fim_real]]="","",Tabela1[[#This Row],[data_fim_real]]-Tabela1[[#This Row],[data_inicio_real]])</f>
        <v/>
      </c>
    </row>
    <row r="301" spans="1:17" ht="16.5" x14ac:dyDescent="0.5">
      <c r="A301" t="s">
        <v>804</v>
      </c>
      <c r="B301" t="s">
        <v>805</v>
      </c>
      <c r="C301" t="s">
        <v>306</v>
      </c>
      <c r="D301" t="s">
        <v>25</v>
      </c>
      <c r="E301" t="s">
        <v>43</v>
      </c>
      <c r="F301" s="1">
        <v>46255</v>
      </c>
      <c r="G301" s="1">
        <v>46269</v>
      </c>
      <c r="H301" s="1">
        <v>46265</v>
      </c>
      <c r="I301" s="1"/>
      <c r="J301" s="2">
        <v>100988.92</v>
      </c>
      <c r="K301" s="2">
        <v>5780.87</v>
      </c>
      <c r="L301" s="2">
        <v>121394.85</v>
      </c>
      <c r="M301">
        <v>443</v>
      </c>
      <c r="N301">
        <v>18</v>
      </c>
      <c r="O301" t="s">
        <v>34</v>
      </c>
      <c r="P301" s="2">
        <f>Tabela1[[#This Row],[orcamento_aprovado]]-Tabela1[[#This Row],[custo_real_acumulado]]</f>
        <v>95208.05</v>
      </c>
      <c r="Q301" t="str">
        <f>IF(Tabela1[[#This Row],[data_fim_real]]="","",Tabela1[[#This Row],[data_fim_real]]-Tabela1[[#This Row],[data_inicio_real]])</f>
        <v/>
      </c>
    </row>
    <row r="302" spans="1:17" ht="16.5" x14ac:dyDescent="0.5">
      <c r="A302" t="s">
        <v>806</v>
      </c>
      <c r="B302" t="s">
        <v>807</v>
      </c>
      <c r="C302" t="s">
        <v>808</v>
      </c>
      <c r="D302" t="s">
        <v>78</v>
      </c>
      <c r="E302" t="s">
        <v>43</v>
      </c>
      <c r="F302" s="1">
        <v>46342</v>
      </c>
      <c r="G302" s="1">
        <v>46387</v>
      </c>
      <c r="H302" s="1">
        <v>46349</v>
      </c>
      <c r="I302" s="1"/>
      <c r="J302" s="2">
        <v>158586.23999999999</v>
      </c>
      <c r="K302" s="2">
        <v>24820.31</v>
      </c>
      <c r="L302" s="2">
        <v>70143.03</v>
      </c>
      <c r="M302">
        <v>939</v>
      </c>
      <c r="N302">
        <v>116</v>
      </c>
      <c r="O302" t="s">
        <v>21</v>
      </c>
      <c r="P302" s="2">
        <f>Tabela1[[#This Row],[orcamento_aprovado]]-Tabela1[[#This Row],[custo_real_acumulado]]</f>
        <v>133765.93</v>
      </c>
      <c r="Q302" t="str">
        <f>IF(Tabela1[[#This Row],[data_fim_real]]="","",Tabela1[[#This Row],[data_fim_real]]-Tabela1[[#This Row],[data_inicio_real]])</f>
        <v/>
      </c>
    </row>
    <row r="303" spans="1:17" ht="16.5" x14ac:dyDescent="0.5">
      <c r="A303" t="s">
        <v>809</v>
      </c>
      <c r="B303" t="s">
        <v>810</v>
      </c>
      <c r="C303" t="s">
        <v>118</v>
      </c>
      <c r="D303" t="s">
        <v>142</v>
      </c>
      <c r="E303" t="s">
        <v>43</v>
      </c>
      <c r="F303" s="1">
        <v>46212</v>
      </c>
      <c r="G303" s="1">
        <v>46284</v>
      </c>
      <c r="H303" s="1">
        <v>46210</v>
      </c>
      <c r="I303" s="1"/>
      <c r="J303" s="2">
        <v>172290</v>
      </c>
      <c r="K303" s="2">
        <v>43735.48</v>
      </c>
      <c r="L303" s="2">
        <v>240769.22</v>
      </c>
      <c r="M303">
        <v>2074</v>
      </c>
      <c r="N303">
        <v>861</v>
      </c>
      <c r="O303" t="s">
        <v>26</v>
      </c>
      <c r="P303" s="2">
        <f>Tabela1[[#This Row],[orcamento_aprovado]]-Tabela1[[#This Row],[custo_real_acumulado]]</f>
        <v>128554.51999999999</v>
      </c>
      <c r="Q303" t="str">
        <f>IF(Tabela1[[#This Row],[data_fim_real]]="","",Tabela1[[#This Row],[data_fim_real]]-Tabela1[[#This Row],[data_inicio_real]])</f>
        <v/>
      </c>
    </row>
    <row r="304" spans="1:17" ht="16.5" x14ac:dyDescent="0.5">
      <c r="A304" t="s">
        <v>811</v>
      </c>
      <c r="B304" t="s">
        <v>812</v>
      </c>
      <c r="C304" t="s">
        <v>321</v>
      </c>
      <c r="D304" t="s">
        <v>38</v>
      </c>
      <c r="E304" t="s">
        <v>20</v>
      </c>
      <c r="F304" s="1">
        <v>46199</v>
      </c>
      <c r="G304" s="1">
        <v>46329</v>
      </c>
      <c r="H304" s="1">
        <v>46210</v>
      </c>
      <c r="I304" s="1"/>
      <c r="J304" s="2">
        <v>50000</v>
      </c>
      <c r="K304" s="2">
        <v>39742</v>
      </c>
      <c r="L304" s="2">
        <v>86988.77</v>
      </c>
      <c r="M304">
        <v>3941</v>
      </c>
      <c r="N304">
        <v>3091</v>
      </c>
      <c r="O304" t="s">
        <v>34</v>
      </c>
      <c r="P304" s="2">
        <f>Tabela1[[#This Row],[orcamento_aprovado]]-Tabela1[[#This Row],[custo_real_acumulado]]</f>
        <v>10258</v>
      </c>
      <c r="Q304" t="str">
        <f>IF(Tabela1[[#This Row],[data_fim_real]]="","",Tabela1[[#This Row],[data_fim_real]]-Tabela1[[#This Row],[data_inicio_real]])</f>
        <v/>
      </c>
    </row>
    <row r="305" spans="1:17" ht="16.5" x14ac:dyDescent="0.5">
      <c r="A305" t="s">
        <v>813</v>
      </c>
      <c r="B305" t="s">
        <v>814</v>
      </c>
      <c r="C305" t="s">
        <v>191</v>
      </c>
      <c r="D305" t="s">
        <v>78</v>
      </c>
      <c r="E305" t="s">
        <v>43</v>
      </c>
      <c r="F305" s="1">
        <v>46370</v>
      </c>
      <c r="G305" s="1">
        <v>46387</v>
      </c>
      <c r="H305" s="1">
        <v>46361</v>
      </c>
      <c r="I305" s="1"/>
      <c r="J305" s="2">
        <v>246670.25</v>
      </c>
      <c r="K305" s="2">
        <v>153670.42000000001</v>
      </c>
      <c r="L305" s="2">
        <v>81513.05</v>
      </c>
      <c r="M305">
        <v>575</v>
      </c>
      <c r="N305">
        <v>289</v>
      </c>
      <c r="O305" t="s">
        <v>21</v>
      </c>
      <c r="P305" s="2">
        <f>Tabela1[[#This Row],[orcamento_aprovado]]-Tabela1[[#This Row],[custo_real_acumulado]]</f>
        <v>92999.829999999987</v>
      </c>
      <c r="Q305" t="str">
        <f>IF(Tabela1[[#This Row],[data_fim_real]]="","",Tabela1[[#This Row],[data_fim_real]]-Tabela1[[#This Row],[data_inicio_real]])</f>
        <v/>
      </c>
    </row>
    <row r="306" spans="1:17" ht="16.5" x14ac:dyDescent="0.5">
      <c r="A306" t="s">
        <v>815</v>
      </c>
      <c r="B306" t="s">
        <v>816</v>
      </c>
      <c r="C306" t="s">
        <v>273</v>
      </c>
      <c r="D306" t="s">
        <v>78</v>
      </c>
      <c r="E306" t="s">
        <v>43</v>
      </c>
      <c r="F306" s="1">
        <v>46122</v>
      </c>
      <c r="G306" s="1">
        <v>46248</v>
      </c>
      <c r="H306" s="1">
        <v>46129</v>
      </c>
      <c r="I306" s="1"/>
      <c r="J306" s="2">
        <v>81665.789999999994</v>
      </c>
      <c r="K306" s="2">
        <v>71578.740000000005</v>
      </c>
      <c r="L306" s="2">
        <v>121245.94</v>
      </c>
      <c r="M306">
        <v>4565</v>
      </c>
      <c r="N306">
        <v>3319</v>
      </c>
      <c r="O306" t="s">
        <v>26</v>
      </c>
      <c r="P306" s="2">
        <f>Tabela1[[#This Row],[orcamento_aprovado]]-Tabela1[[#This Row],[custo_real_acumulado]]</f>
        <v>10087.049999999988</v>
      </c>
      <c r="Q306" t="str">
        <f>IF(Tabela1[[#This Row],[data_fim_real]]="","",Tabela1[[#This Row],[data_fim_real]]-Tabela1[[#This Row],[data_inicio_real]])</f>
        <v/>
      </c>
    </row>
    <row r="307" spans="1:17" ht="16.5" x14ac:dyDescent="0.5">
      <c r="A307" t="s">
        <v>817</v>
      </c>
      <c r="B307" t="s">
        <v>818</v>
      </c>
      <c r="C307" t="s">
        <v>738</v>
      </c>
      <c r="D307" t="s">
        <v>58</v>
      </c>
      <c r="E307" t="s">
        <v>43</v>
      </c>
      <c r="F307" s="1">
        <v>46359</v>
      </c>
      <c r="G307" s="1">
        <v>46387</v>
      </c>
      <c r="H307" s="1">
        <v>46355</v>
      </c>
      <c r="I307" s="1"/>
      <c r="J307" s="2">
        <v>87910.66</v>
      </c>
      <c r="K307" s="2">
        <v>27958.06</v>
      </c>
      <c r="L307" s="2">
        <v>80853.5</v>
      </c>
      <c r="M307">
        <v>529</v>
      </c>
      <c r="N307">
        <v>157</v>
      </c>
      <c r="O307" t="s">
        <v>34</v>
      </c>
      <c r="P307" s="2">
        <f>Tabela1[[#This Row],[orcamento_aprovado]]-Tabela1[[#This Row],[custo_real_acumulado]]</f>
        <v>59952.600000000006</v>
      </c>
      <c r="Q307" t="str">
        <f>IF(Tabela1[[#This Row],[data_fim_real]]="","",Tabela1[[#This Row],[data_fim_real]]-Tabela1[[#This Row],[data_inicio_real]])</f>
        <v/>
      </c>
    </row>
    <row r="308" spans="1:17" ht="16.5" x14ac:dyDescent="0.5">
      <c r="A308" t="s">
        <v>819</v>
      </c>
      <c r="B308" t="s">
        <v>820</v>
      </c>
      <c r="C308" t="s">
        <v>205</v>
      </c>
      <c r="D308" t="s">
        <v>54</v>
      </c>
      <c r="E308" t="s">
        <v>43</v>
      </c>
      <c r="F308" s="1">
        <v>46241</v>
      </c>
      <c r="G308" s="1">
        <v>46361</v>
      </c>
      <c r="H308" s="1"/>
      <c r="I308" s="1"/>
      <c r="J308" s="2">
        <v>82499.28</v>
      </c>
      <c r="K308" s="2">
        <v>0</v>
      </c>
      <c r="L308" s="2">
        <v>38340.92</v>
      </c>
      <c r="M308">
        <v>4457</v>
      </c>
      <c r="N308">
        <v>0</v>
      </c>
      <c r="O308" t="s">
        <v>21</v>
      </c>
      <c r="P308" s="2">
        <f>Tabela1[[#This Row],[orcamento_aprovado]]-Tabela1[[#This Row],[custo_real_acumulado]]</f>
        <v>82499.28</v>
      </c>
      <c r="Q308" t="str">
        <f>IF(Tabela1[[#This Row],[data_fim_real]]="","",Tabela1[[#This Row],[data_fim_real]]-Tabela1[[#This Row],[data_inicio_real]])</f>
        <v/>
      </c>
    </row>
    <row r="309" spans="1:17" ht="16.5" x14ac:dyDescent="0.5">
      <c r="A309" t="s">
        <v>821</v>
      </c>
      <c r="B309" t="s">
        <v>822</v>
      </c>
      <c r="C309" t="s">
        <v>486</v>
      </c>
      <c r="D309" t="s">
        <v>54</v>
      </c>
      <c r="E309" t="s">
        <v>20</v>
      </c>
      <c r="F309" s="1">
        <v>46353</v>
      </c>
      <c r="G309" s="1">
        <v>46387</v>
      </c>
      <c r="H309" s="1">
        <v>46370</v>
      </c>
      <c r="I309" s="1"/>
      <c r="J309" s="2">
        <v>117859.3</v>
      </c>
      <c r="K309" s="2">
        <v>60236.93</v>
      </c>
      <c r="L309" s="2">
        <v>206737.11</v>
      </c>
      <c r="M309">
        <v>580</v>
      </c>
      <c r="N309">
        <v>360</v>
      </c>
      <c r="O309" t="s">
        <v>26</v>
      </c>
      <c r="P309" s="2">
        <f>Tabela1[[#This Row],[orcamento_aprovado]]-Tabela1[[#This Row],[custo_real_acumulado]]</f>
        <v>57622.37</v>
      </c>
      <c r="Q309" t="str">
        <f>IF(Tabela1[[#This Row],[data_fim_real]]="","",Tabela1[[#This Row],[data_fim_real]]-Tabela1[[#This Row],[data_inicio_real]])</f>
        <v/>
      </c>
    </row>
    <row r="310" spans="1:17" ht="16.5" x14ac:dyDescent="0.5">
      <c r="A310" t="s">
        <v>823</v>
      </c>
      <c r="B310" t="s">
        <v>824</v>
      </c>
      <c r="C310" t="s">
        <v>64</v>
      </c>
      <c r="D310" t="s">
        <v>25</v>
      </c>
      <c r="E310" t="s">
        <v>19</v>
      </c>
      <c r="F310" s="1">
        <v>46023</v>
      </c>
      <c r="G310" s="1">
        <v>46145</v>
      </c>
      <c r="H310" s="1">
        <v>46034</v>
      </c>
      <c r="I310" s="1"/>
      <c r="J310" s="2">
        <v>119910.24</v>
      </c>
      <c r="K310" s="2">
        <v>67383.960000000006</v>
      </c>
      <c r="L310" s="2">
        <v>234078.46</v>
      </c>
      <c r="M310">
        <v>2938</v>
      </c>
      <c r="N310">
        <v>1297</v>
      </c>
      <c r="O310" t="s">
        <v>34</v>
      </c>
      <c r="P310" s="2">
        <f>Tabela1[[#This Row],[orcamento_aprovado]]-Tabela1[[#This Row],[custo_real_acumulado]]</f>
        <v>52526.28</v>
      </c>
      <c r="Q310" t="str">
        <f>IF(Tabela1[[#This Row],[data_fim_real]]="","",Tabela1[[#This Row],[data_fim_real]]-Tabela1[[#This Row],[data_inicio_real]])</f>
        <v/>
      </c>
    </row>
    <row r="311" spans="1:17" ht="16.5" x14ac:dyDescent="0.5">
      <c r="A311" t="s">
        <v>825</v>
      </c>
      <c r="B311" t="s">
        <v>826</v>
      </c>
      <c r="C311" t="s">
        <v>555</v>
      </c>
      <c r="D311" t="s">
        <v>50</v>
      </c>
      <c r="E311" t="s">
        <v>20</v>
      </c>
      <c r="F311" s="1">
        <v>46313</v>
      </c>
      <c r="G311" s="1">
        <v>46343</v>
      </c>
      <c r="H311" s="1">
        <v>46315</v>
      </c>
      <c r="I311" s="1">
        <v>46333</v>
      </c>
      <c r="J311" s="2">
        <v>50000</v>
      </c>
      <c r="K311" s="2">
        <v>43647.839999999997</v>
      </c>
      <c r="L311" s="2">
        <v>70414.19</v>
      </c>
      <c r="M311">
        <v>1445</v>
      </c>
      <c r="N311">
        <v>1160</v>
      </c>
      <c r="O311" t="s">
        <v>21</v>
      </c>
      <c r="P311" s="2">
        <f>Tabela1[[#This Row],[orcamento_aprovado]]-Tabela1[[#This Row],[custo_real_acumulado]]</f>
        <v>6352.1600000000035</v>
      </c>
      <c r="Q311">
        <f>IF(Tabela1[[#This Row],[data_fim_real]]="","",Tabela1[[#This Row],[data_fim_real]]-Tabela1[[#This Row],[data_inicio_real]])</f>
        <v>18</v>
      </c>
    </row>
    <row r="312" spans="1:17" ht="16.5" x14ac:dyDescent="0.5">
      <c r="A312" t="s">
        <v>827</v>
      </c>
      <c r="B312" t="s">
        <v>828</v>
      </c>
      <c r="C312" t="s">
        <v>722</v>
      </c>
      <c r="D312" t="s">
        <v>58</v>
      </c>
      <c r="E312" t="s">
        <v>43</v>
      </c>
      <c r="F312" s="1">
        <v>46222</v>
      </c>
      <c r="G312" s="1">
        <v>46334</v>
      </c>
      <c r="H312" s="1">
        <v>46237</v>
      </c>
      <c r="I312" s="1"/>
      <c r="J312" s="2">
        <v>72359.759999999995</v>
      </c>
      <c r="K312" s="2">
        <v>51210.400000000001</v>
      </c>
      <c r="L312" s="2">
        <v>90717.16</v>
      </c>
      <c r="M312">
        <v>3600</v>
      </c>
      <c r="N312">
        <v>1710</v>
      </c>
      <c r="O312" t="s">
        <v>26</v>
      </c>
      <c r="P312" s="2">
        <f>Tabela1[[#This Row],[orcamento_aprovado]]-Tabela1[[#This Row],[custo_real_acumulado]]</f>
        <v>21149.359999999993</v>
      </c>
      <c r="Q312" t="str">
        <f>IF(Tabela1[[#This Row],[data_fim_real]]="","",Tabela1[[#This Row],[data_fim_real]]-Tabela1[[#This Row],[data_inicio_real]])</f>
        <v/>
      </c>
    </row>
    <row r="313" spans="1:17" ht="16.5" x14ac:dyDescent="0.5">
      <c r="A313" t="s">
        <v>829</v>
      </c>
      <c r="B313" t="s">
        <v>830</v>
      </c>
      <c r="C313" t="s">
        <v>194</v>
      </c>
      <c r="D313" t="s">
        <v>71</v>
      </c>
      <c r="E313" t="s">
        <v>20</v>
      </c>
      <c r="F313" s="1">
        <v>46031</v>
      </c>
      <c r="G313" s="1">
        <v>46103</v>
      </c>
      <c r="H313" s="1">
        <v>46045</v>
      </c>
      <c r="I313" s="1"/>
      <c r="J313" s="2">
        <v>54309.88</v>
      </c>
      <c r="K313" s="2">
        <v>31478.74</v>
      </c>
      <c r="L313" s="2">
        <v>37342.92</v>
      </c>
      <c r="M313">
        <v>1943</v>
      </c>
      <c r="N313">
        <v>1094</v>
      </c>
      <c r="O313" t="s">
        <v>34</v>
      </c>
      <c r="P313" s="2">
        <f>Tabela1[[#This Row],[orcamento_aprovado]]-Tabela1[[#This Row],[custo_real_acumulado]]</f>
        <v>22831.139999999996</v>
      </c>
      <c r="Q313" t="str">
        <f>IF(Tabela1[[#This Row],[data_fim_real]]="","",Tabela1[[#This Row],[data_fim_real]]-Tabela1[[#This Row],[data_inicio_real]])</f>
        <v/>
      </c>
    </row>
    <row r="314" spans="1:17" ht="16.5" x14ac:dyDescent="0.5">
      <c r="A314" t="s">
        <v>831</v>
      </c>
      <c r="B314" t="s">
        <v>832</v>
      </c>
      <c r="C314" t="s">
        <v>288</v>
      </c>
      <c r="D314" t="s">
        <v>18</v>
      </c>
      <c r="E314" t="s">
        <v>19</v>
      </c>
      <c r="F314" s="1">
        <v>46147</v>
      </c>
      <c r="G314" s="1">
        <v>46206</v>
      </c>
      <c r="H314" s="1"/>
      <c r="I314" s="1"/>
      <c r="J314" s="2">
        <v>186289.05</v>
      </c>
      <c r="K314" s="2">
        <v>0</v>
      </c>
      <c r="L314" s="2">
        <v>101571.38</v>
      </c>
      <c r="M314">
        <v>1255</v>
      </c>
      <c r="N314">
        <v>0</v>
      </c>
      <c r="O314" t="s">
        <v>21</v>
      </c>
      <c r="P314" s="2">
        <f>Tabela1[[#This Row],[orcamento_aprovado]]-Tabela1[[#This Row],[custo_real_acumulado]]</f>
        <v>186289.05</v>
      </c>
      <c r="Q314" t="str">
        <f>IF(Tabela1[[#This Row],[data_fim_real]]="","",Tabela1[[#This Row],[data_fim_real]]-Tabela1[[#This Row],[data_inicio_real]])</f>
        <v/>
      </c>
    </row>
    <row r="315" spans="1:17" ht="16.5" x14ac:dyDescent="0.5">
      <c r="A315" t="s">
        <v>833</v>
      </c>
      <c r="B315" t="s">
        <v>834</v>
      </c>
      <c r="C315" t="s">
        <v>230</v>
      </c>
      <c r="D315" t="s">
        <v>71</v>
      </c>
      <c r="E315" t="s">
        <v>20</v>
      </c>
      <c r="F315" s="1">
        <v>46228</v>
      </c>
      <c r="G315" s="1">
        <v>46256</v>
      </c>
      <c r="H315" s="1">
        <v>46230</v>
      </c>
      <c r="I315" s="1"/>
      <c r="J315" s="2">
        <v>215462.61</v>
      </c>
      <c r="K315" s="2">
        <v>127039.26</v>
      </c>
      <c r="L315" s="2">
        <v>85179.520000000004</v>
      </c>
      <c r="M315">
        <v>484</v>
      </c>
      <c r="N315">
        <v>244</v>
      </c>
      <c r="O315" t="s">
        <v>26</v>
      </c>
      <c r="P315" s="2">
        <f>Tabela1[[#This Row],[orcamento_aprovado]]-Tabela1[[#This Row],[custo_real_acumulado]]</f>
        <v>88423.349999999991</v>
      </c>
      <c r="Q315" t="str">
        <f>IF(Tabela1[[#This Row],[data_fim_real]]="","",Tabela1[[#This Row],[data_fim_real]]-Tabela1[[#This Row],[data_inicio_real]])</f>
        <v/>
      </c>
    </row>
    <row r="316" spans="1:17" ht="16.5" x14ac:dyDescent="0.5">
      <c r="A316" t="s">
        <v>835</v>
      </c>
      <c r="B316" t="s">
        <v>836</v>
      </c>
      <c r="C316" t="s">
        <v>694</v>
      </c>
      <c r="D316" t="s">
        <v>54</v>
      </c>
      <c r="E316" t="s">
        <v>20</v>
      </c>
      <c r="F316" s="1">
        <v>46043</v>
      </c>
      <c r="G316" s="1">
        <v>46112</v>
      </c>
      <c r="H316" s="1">
        <v>46055</v>
      </c>
      <c r="I316" s="1"/>
      <c r="J316" s="2">
        <v>814358.45</v>
      </c>
      <c r="K316" s="2">
        <v>98278.42</v>
      </c>
      <c r="L316" s="2">
        <v>1627473.9199999999</v>
      </c>
      <c r="M316">
        <v>924</v>
      </c>
      <c r="N316">
        <v>101</v>
      </c>
      <c r="O316" t="s">
        <v>34</v>
      </c>
      <c r="P316" s="2">
        <f>Tabela1[[#This Row],[orcamento_aprovado]]-Tabela1[[#This Row],[custo_real_acumulado]]</f>
        <v>716080.02999999991</v>
      </c>
      <c r="Q316" t="str">
        <f>IF(Tabela1[[#This Row],[data_fim_real]]="","",Tabela1[[#This Row],[data_fim_real]]-Tabela1[[#This Row],[data_inicio_real]])</f>
        <v/>
      </c>
    </row>
    <row r="317" spans="1:17" ht="16.5" x14ac:dyDescent="0.5">
      <c r="A317" t="s">
        <v>837</v>
      </c>
      <c r="B317" t="s">
        <v>838</v>
      </c>
      <c r="C317" t="s">
        <v>839</v>
      </c>
      <c r="D317" t="s">
        <v>78</v>
      </c>
      <c r="E317" t="s">
        <v>19</v>
      </c>
      <c r="F317" s="1">
        <v>46096</v>
      </c>
      <c r="G317" s="1">
        <v>46174</v>
      </c>
      <c r="H317" s="1">
        <v>46093</v>
      </c>
      <c r="I317" s="1"/>
      <c r="J317" s="2">
        <v>50000</v>
      </c>
      <c r="K317" s="2">
        <v>31942.82</v>
      </c>
      <c r="L317" s="2">
        <v>23261.87</v>
      </c>
      <c r="M317">
        <v>1785</v>
      </c>
      <c r="N317">
        <v>1080</v>
      </c>
      <c r="O317" t="s">
        <v>21</v>
      </c>
      <c r="P317" s="2">
        <f>Tabela1[[#This Row],[orcamento_aprovado]]-Tabela1[[#This Row],[custo_real_acumulado]]</f>
        <v>18057.18</v>
      </c>
      <c r="Q317" t="str">
        <f>IF(Tabela1[[#This Row],[data_fim_real]]="","",Tabela1[[#This Row],[data_fim_real]]-Tabela1[[#This Row],[data_inicio_real]])</f>
        <v/>
      </c>
    </row>
    <row r="318" spans="1:17" ht="16.5" x14ac:dyDescent="0.5">
      <c r="A318" t="s">
        <v>840</v>
      </c>
      <c r="B318" t="s">
        <v>841</v>
      </c>
      <c r="C318" t="s">
        <v>667</v>
      </c>
      <c r="D318" t="s">
        <v>33</v>
      </c>
      <c r="E318" t="s">
        <v>20</v>
      </c>
      <c r="F318" s="1">
        <v>46339</v>
      </c>
      <c r="G318" s="1">
        <v>46387</v>
      </c>
      <c r="H318" s="1">
        <v>46338</v>
      </c>
      <c r="I318" s="1"/>
      <c r="J318" s="2">
        <v>50000</v>
      </c>
      <c r="K318" s="2">
        <v>33494.879999999997</v>
      </c>
      <c r="L318" s="2">
        <v>31070.38</v>
      </c>
      <c r="M318">
        <v>1553</v>
      </c>
      <c r="N318">
        <v>1170</v>
      </c>
      <c r="O318" t="s">
        <v>26</v>
      </c>
      <c r="P318" s="2">
        <f>Tabela1[[#This Row],[orcamento_aprovado]]-Tabela1[[#This Row],[custo_real_acumulado]]</f>
        <v>16505.120000000003</v>
      </c>
      <c r="Q318" t="str">
        <f>IF(Tabela1[[#This Row],[data_fim_real]]="","",Tabela1[[#This Row],[data_fim_real]]-Tabela1[[#This Row],[data_inicio_real]])</f>
        <v/>
      </c>
    </row>
    <row r="319" spans="1:17" ht="16.5" x14ac:dyDescent="0.5">
      <c r="A319" t="s">
        <v>842</v>
      </c>
      <c r="B319" t="s">
        <v>843</v>
      </c>
      <c r="C319" t="s">
        <v>129</v>
      </c>
      <c r="D319" t="s">
        <v>71</v>
      </c>
      <c r="E319" t="s">
        <v>20</v>
      </c>
      <c r="F319" s="1">
        <v>46130</v>
      </c>
      <c r="G319" s="1">
        <v>46150</v>
      </c>
      <c r="H319" s="1"/>
      <c r="I319" s="1"/>
      <c r="J319" s="2">
        <v>291985.19</v>
      </c>
      <c r="K319" s="2">
        <v>0</v>
      </c>
      <c r="L319" s="2">
        <v>182163.36</v>
      </c>
      <c r="M319">
        <v>1172</v>
      </c>
      <c r="N319">
        <v>0</v>
      </c>
      <c r="O319" t="s">
        <v>34</v>
      </c>
      <c r="P319" s="2">
        <f>Tabela1[[#This Row],[orcamento_aprovado]]-Tabela1[[#This Row],[custo_real_acumulado]]</f>
        <v>291985.19</v>
      </c>
      <c r="Q319" t="str">
        <f>IF(Tabela1[[#This Row],[data_fim_real]]="","",Tabela1[[#This Row],[data_fim_real]]-Tabela1[[#This Row],[data_inicio_real]])</f>
        <v/>
      </c>
    </row>
    <row r="320" spans="1:17" ht="16.5" x14ac:dyDescent="0.5">
      <c r="A320" t="s">
        <v>844</v>
      </c>
      <c r="B320" t="s">
        <v>845</v>
      </c>
      <c r="C320" t="s">
        <v>64</v>
      </c>
      <c r="D320" t="s">
        <v>58</v>
      </c>
      <c r="E320" t="s">
        <v>43</v>
      </c>
      <c r="F320" s="1">
        <v>46140</v>
      </c>
      <c r="G320" s="1">
        <v>46154</v>
      </c>
      <c r="H320" s="1">
        <v>46151</v>
      </c>
      <c r="I320" s="1"/>
      <c r="J320" s="2">
        <v>172637.8</v>
      </c>
      <c r="K320" s="2">
        <v>64894.77</v>
      </c>
      <c r="L320" s="2">
        <v>137352.98000000001</v>
      </c>
      <c r="M320">
        <v>476</v>
      </c>
      <c r="N320">
        <v>207</v>
      </c>
      <c r="O320" t="s">
        <v>21</v>
      </c>
      <c r="P320" s="2">
        <f>Tabela1[[#This Row],[orcamento_aprovado]]-Tabela1[[#This Row],[custo_real_acumulado]]</f>
        <v>107743.03</v>
      </c>
      <c r="Q320" t="str">
        <f>IF(Tabela1[[#This Row],[data_fim_real]]="","",Tabela1[[#This Row],[data_fim_real]]-Tabela1[[#This Row],[data_inicio_real]])</f>
        <v/>
      </c>
    </row>
    <row r="321" spans="1:17" ht="16.5" x14ac:dyDescent="0.5">
      <c r="A321" t="s">
        <v>846</v>
      </c>
      <c r="B321" t="s">
        <v>847</v>
      </c>
      <c r="C321" t="s">
        <v>227</v>
      </c>
      <c r="D321" t="s">
        <v>38</v>
      </c>
      <c r="E321" t="s">
        <v>20</v>
      </c>
      <c r="F321" s="1">
        <v>46257</v>
      </c>
      <c r="G321" s="1">
        <v>46305</v>
      </c>
      <c r="H321" s="1">
        <v>46257</v>
      </c>
      <c r="I321" s="1"/>
      <c r="J321" s="2">
        <v>50000</v>
      </c>
      <c r="K321" s="2">
        <v>2992.06</v>
      </c>
      <c r="L321" s="2">
        <v>106839.75</v>
      </c>
      <c r="M321">
        <v>438</v>
      </c>
      <c r="N321">
        <v>20</v>
      </c>
      <c r="O321" t="s">
        <v>26</v>
      </c>
      <c r="P321" s="2">
        <f>Tabela1[[#This Row],[orcamento_aprovado]]-Tabela1[[#This Row],[custo_real_acumulado]]</f>
        <v>47007.94</v>
      </c>
      <c r="Q321" t="str">
        <f>IF(Tabela1[[#This Row],[data_fim_real]]="","",Tabela1[[#This Row],[data_fim_real]]-Tabela1[[#This Row],[data_inicio_real]])</f>
        <v/>
      </c>
    </row>
    <row r="322" spans="1:17" ht="16.5" x14ac:dyDescent="0.5">
      <c r="A322" t="s">
        <v>848</v>
      </c>
      <c r="B322" t="s">
        <v>849</v>
      </c>
      <c r="C322" t="s">
        <v>700</v>
      </c>
      <c r="D322" t="s">
        <v>38</v>
      </c>
      <c r="E322" t="s">
        <v>19</v>
      </c>
      <c r="F322" s="1">
        <v>46336</v>
      </c>
      <c r="G322" s="1">
        <v>46387</v>
      </c>
      <c r="H322" s="1">
        <v>46334</v>
      </c>
      <c r="I322" s="1"/>
      <c r="J322" s="2">
        <v>50000</v>
      </c>
      <c r="K322" s="2">
        <v>10987.28</v>
      </c>
      <c r="L322" s="2">
        <v>33264.5</v>
      </c>
      <c r="M322">
        <v>2204</v>
      </c>
      <c r="N322">
        <v>387</v>
      </c>
      <c r="O322" t="s">
        <v>34</v>
      </c>
      <c r="P322" s="2">
        <f>Tabela1[[#This Row],[orcamento_aprovado]]-Tabela1[[#This Row],[custo_real_acumulado]]</f>
        <v>39012.720000000001</v>
      </c>
      <c r="Q322" t="str">
        <f>IF(Tabela1[[#This Row],[data_fim_real]]="","",Tabela1[[#This Row],[data_fim_real]]-Tabela1[[#This Row],[data_inicio_real]])</f>
        <v/>
      </c>
    </row>
    <row r="323" spans="1:17" ht="16.5" x14ac:dyDescent="0.5">
      <c r="A323" t="s">
        <v>850</v>
      </c>
      <c r="B323" t="s">
        <v>851</v>
      </c>
      <c r="C323" t="s">
        <v>460</v>
      </c>
      <c r="D323" t="s">
        <v>58</v>
      </c>
      <c r="E323" t="s">
        <v>43</v>
      </c>
      <c r="F323" s="1">
        <v>46316</v>
      </c>
      <c r="G323" s="1">
        <v>46374</v>
      </c>
      <c r="H323" s="1">
        <v>46320</v>
      </c>
      <c r="I323" s="1">
        <v>46387</v>
      </c>
      <c r="J323" s="2">
        <v>160249.14000000001</v>
      </c>
      <c r="K323" s="2">
        <v>149734.87</v>
      </c>
      <c r="L323" s="2">
        <v>304326.23</v>
      </c>
      <c r="M323">
        <v>1012</v>
      </c>
      <c r="N323">
        <v>1030</v>
      </c>
      <c r="O323" t="s">
        <v>21</v>
      </c>
      <c r="P323" s="2">
        <f>Tabela1[[#This Row],[orcamento_aprovado]]-Tabela1[[#This Row],[custo_real_acumulado]]</f>
        <v>10514.270000000019</v>
      </c>
      <c r="Q323">
        <f>IF(Tabela1[[#This Row],[data_fim_real]]="","",Tabela1[[#This Row],[data_fim_real]]-Tabela1[[#This Row],[data_inicio_real]])</f>
        <v>67</v>
      </c>
    </row>
    <row r="324" spans="1:17" ht="16.5" x14ac:dyDescent="0.5">
      <c r="A324" t="s">
        <v>852</v>
      </c>
      <c r="B324" t="s">
        <v>853</v>
      </c>
      <c r="C324" t="s">
        <v>854</v>
      </c>
      <c r="D324" t="s">
        <v>71</v>
      </c>
      <c r="E324" t="s">
        <v>20</v>
      </c>
      <c r="F324" s="1">
        <v>46134</v>
      </c>
      <c r="G324" s="1">
        <v>46195</v>
      </c>
      <c r="H324" s="1"/>
      <c r="I324" s="1"/>
      <c r="J324" s="2">
        <v>57274.07</v>
      </c>
      <c r="K324" s="2">
        <v>0</v>
      </c>
      <c r="L324" s="2">
        <v>40420.11</v>
      </c>
      <c r="M324">
        <v>662</v>
      </c>
      <c r="N324">
        <v>0</v>
      </c>
      <c r="O324" t="s">
        <v>26</v>
      </c>
      <c r="P324" s="2">
        <f>Tabela1[[#This Row],[orcamento_aprovado]]-Tabela1[[#This Row],[custo_real_acumulado]]</f>
        <v>57274.07</v>
      </c>
      <c r="Q324" t="str">
        <f>IF(Tabela1[[#This Row],[data_fim_real]]="","",Tabela1[[#This Row],[data_fim_real]]-Tabela1[[#This Row],[data_inicio_real]])</f>
        <v/>
      </c>
    </row>
    <row r="325" spans="1:17" ht="16.5" x14ac:dyDescent="0.5">
      <c r="A325" t="s">
        <v>855</v>
      </c>
      <c r="B325" t="s">
        <v>856</v>
      </c>
      <c r="C325" t="s">
        <v>483</v>
      </c>
      <c r="D325" t="s">
        <v>71</v>
      </c>
      <c r="E325" t="s">
        <v>19</v>
      </c>
      <c r="F325" s="1">
        <v>46260</v>
      </c>
      <c r="G325" s="1">
        <v>46295</v>
      </c>
      <c r="H325" s="1">
        <v>46255</v>
      </c>
      <c r="I325" s="1"/>
      <c r="J325" s="2">
        <v>101332.88</v>
      </c>
      <c r="K325" s="2">
        <v>112458.84</v>
      </c>
      <c r="L325" s="2">
        <v>99649.09</v>
      </c>
      <c r="M325">
        <v>641</v>
      </c>
      <c r="N325">
        <v>660</v>
      </c>
      <c r="O325" t="s">
        <v>34</v>
      </c>
      <c r="P325" s="2">
        <f>Tabela1[[#This Row],[orcamento_aprovado]]-Tabela1[[#This Row],[custo_real_acumulado]]</f>
        <v>-11125.959999999992</v>
      </c>
      <c r="Q325" t="str">
        <f>IF(Tabela1[[#This Row],[data_fim_real]]="","",Tabela1[[#This Row],[data_fim_real]]-Tabela1[[#This Row],[data_inicio_real]])</f>
        <v/>
      </c>
    </row>
    <row r="326" spans="1:17" ht="16.5" x14ac:dyDescent="0.5">
      <c r="A326" t="s">
        <v>857</v>
      </c>
      <c r="B326" t="s">
        <v>858</v>
      </c>
      <c r="C326" t="s">
        <v>859</v>
      </c>
      <c r="D326" t="s">
        <v>18</v>
      </c>
      <c r="E326" t="s">
        <v>19</v>
      </c>
      <c r="F326" s="1">
        <v>46049</v>
      </c>
      <c r="G326" s="1">
        <v>46156</v>
      </c>
      <c r="H326" s="1">
        <v>46047</v>
      </c>
      <c r="I326" s="1">
        <v>46151</v>
      </c>
      <c r="J326" s="2">
        <v>50000</v>
      </c>
      <c r="K326" s="2">
        <v>57040.37</v>
      </c>
      <c r="L326" s="2">
        <v>80827.42</v>
      </c>
      <c r="M326">
        <v>4268</v>
      </c>
      <c r="N326">
        <v>4224</v>
      </c>
      <c r="O326" t="s">
        <v>21</v>
      </c>
      <c r="P326" s="2">
        <f>Tabela1[[#This Row],[orcamento_aprovado]]-Tabela1[[#This Row],[custo_real_acumulado]]</f>
        <v>-7040.3700000000026</v>
      </c>
      <c r="Q326">
        <f>IF(Tabela1[[#This Row],[data_fim_real]]="","",Tabela1[[#This Row],[data_fim_real]]-Tabela1[[#This Row],[data_inicio_real]])</f>
        <v>104</v>
      </c>
    </row>
    <row r="327" spans="1:17" ht="16.5" x14ac:dyDescent="0.5">
      <c r="A327" t="s">
        <v>860</v>
      </c>
      <c r="B327" t="s">
        <v>861</v>
      </c>
      <c r="C327" t="s">
        <v>862</v>
      </c>
      <c r="D327" t="s">
        <v>33</v>
      </c>
      <c r="E327" t="s">
        <v>43</v>
      </c>
      <c r="F327" s="1">
        <v>46130</v>
      </c>
      <c r="G327" s="1">
        <v>46235</v>
      </c>
      <c r="H327" s="1">
        <v>46115</v>
      </c>
      <c r="I327" s="1"/>
      <c r="J327" s="2">
        <v>211982.51</v>
      </c>
      <c r="K327" s="2">
        <v>96001.37</v>
      </c>
      <c r="L327" s="2">
        <v>157382.44</v>
      </c>
      <c r="M327">
        <v>2407</v>
      </c>
      <c r="N327">
        <v>1139</v>
      </c>
      <c r="O327" t="s">
        <v>26</v>
      </c>
      <c r="P327" s="2">
        <f>Tabela1[[#This Row],[orcamento_aprovado]]-Tabela1[[#This Row],[custo_real_acumulado]]</f>
        <v>115981.14000000001</v>
      </c>
      <c r="Q327" t="str">
        <f>IF(Tabela1[[#This Row],[data_fim_real]]="","",Tabela1[[#This Row],[data_fim_real]]-Tabela1[[#This Row],[data_inicio_real]])</f>
        <v/>
      </c>
    </row>
    <row r="328" spans="1:17" ht="16.5" x14ac:dyDescent="0.5">
      <c r="A328" t="s">
        <v>863</v>
      </c>
      <c r="B328" t="s">
        <v>864</v>
      </c>
      <c r="C328" t="s">
        <v>77</v>
      </c>
      <c r="D328" t="s">
        <v>71</v>
      </c>
      <c r="E328" t="s">
        <v>43</v>
      </c>
      <c r="F328" s="1">
        <v>46340</v>
      </c>
      <c r="G328" s="1">
        <v>46387</v>
      </c>
      <c r="H328" s="1">
        <v>46350</v>
      </c>
      <c r="I328" s="1">
        <v>46387</v>
      </c>
      <c r="J328" s="2">
        <v>76171.710000000006</v>
      </c>
      <c r="K328" s="2">
        <v>89363.35</v>
      </c>
      <c r="L328" s="2">
        <v>133967.21</v>
      </c>
      <c r="M328">
        <v>245</v>
      </c>
      <c r="N328">
        <v>259</v>
      </c>
      <c r="O328" t="s">
        <v>34</v>
      </c>
      <c r="P328" s="2">
        <f>Tabela1[[#This Row],[orcamento_aprovado]]-Tabela1[[#This Row],[custo_real_acumulado]]</f>
        <v>-13191.64</v>
      </c>
      <c r="Q328">
        <f>IF(Tabela1[[#This Row],[data_fim_real]]="","",Tabela1[[#This Row],[data_fim_real]]-Tabela1[[#This Row],[data_inicio_real]])</f>
        <v>37</v>
      </c>
    </row>
    <row r="329" spans="1:17" ht="16.5" x14ac:dyDescent="0.5">
      <c r="A329" t="s">
        <v>865</v>
      </c>
      <c r="B329" t="s">
        <v>866</v>
      </c>
      <c r="C329" t="s">
        <v>74</v>
      </c>
      <c r="D329" t="s">
        <v>18</v>
      </c>
      <c r="E329" t="s">
        <v>43</v>
      </c>
      <c r="F329" s="1">
        <v>46173</v>
      </c>
      <c r="G329" s="1">
        <v>46243</v>
      </c>
      <c r="H329" s="1">
        <v>46168</v>
      </c>
      <c r="I329" s="1"/>
      <c r="J329" s="2">
        <v>50000</v>
      </c>
      <c r="K329" s="2">
        <v>26649.31</v>
      </c>
      <c r="L329" s="2">
        <v>90526.1</v>
      </c>
      <c r="M329">
        <v>2791</v>
      </c>
      <c r="N329">
        <v>1730</v>
      </c>
      <c r="O329" t="s">
        <v>21</v>
      </c>
      <c r="P329" s="2">
        <f>Tabela1[[#This Row],[orcamento_aprovado]]-Tabela1[[#This Row],[custo_real_acumulado]]</f>
        <v>23350.69</v>
      </c>
      <c r="Q329" t="str">
        <f>IF(Tabela1[[#This Row],[data_fim_real]]="","",Tabela1[[#This Row],[data_fim_real]]-Tabela1[[#This Row],[data_inicio_real]])</f>
        <v/>
      </c>
    </row>
    <row r="330" spans="1:17" ht="16.5" x14ac:dyDescent="0.5">
      <c r="A330" t="s">
        <v>867</v>
      </c>
      <c r="B330" t="s">
        <v>868</v>
      </c>
      <c r="C330" t="s">
        <v>355</v>
      </c>
      <c r="D330" t="s">
        <v>33</v>
      </c>
      <c r="E330" t="s">
        <v>43</v>
      </c>
      <c r="F330" s="1">
        <v>46363</v>
      </c>
      <c r="G330" s="1">
        <v>46387</v>
      </c>
      <c r="H330" s="1">
        <v>46360</v>
      </c>
      <c r="I330" s="1"/>
      <c r="J330" s="2">
        <v>87592.86</v>
      </c>
      <c r="K330" s="2">
        <v>51013.17</v>
      </c>
      <c r="L330" s="2">
        <v>45001.35</v>
      </c>
      <c r="M330">
        <v>432</v>
      </c>
      <c r="N330">
        <v>261</v>
      </c>
      <c r="O330" t="s">
        <v>26</v>
      </c>
      <c r="P330" s="2">
        <f>Tabela1[[#This Row],[orcamento_aprovado]]-Tabela1[[#This Row],[custo_real_acumulado]]</f>
        <v>36579.69</v>
      </c>
      <c r="Q330" t="str">
        <f>IF(Tabela1[[#This Row],[data_fim_real]]="","",Tabela1[[#This Row],[data_fim_real]]-Tabela1[[#This Row],[data_inicio_real]])</f>
        <v/>
      </c>
    </row>
    <row r="331" spans="1:17" ht="16.5" x14ac:dyDescent="0.5">
      <c r="A331" t="s">
        <v>869</v>
      </c>
      <c r="B331" t="s">
        <v>870</v>
      </c>
      <c r="C331" t="s">
        <v>340</v>
      </c>
      <c r="D331" t="s">
        <v>142</v>
      </c>
      <c r="E331" t="s">
        <v>43</v>
      </c>
      <c r="F331" s="1">
        <v>46297</v>
      </c>
      <c r="G331" s="1">
        <v>46387</v>
      </c>
      <c r="H331" s="1">
        <v>46305</v>
      </c>
      <c r="I331" s="1"/>
      <c r="J331" s="2">
        <v>284034.05</v>
      </c>
      <c r="K331" s="2">
        <v>225289.89</v>
      </c>
      <c r="L331" s="2">
        <v>615421.38</v>
      </c>
      <c r="M331">
        <v>2486</v>
      </c>
      <c r="N331">
        <v>2152</v>
      </c>
      <c r="O331" t="s">
        <v>34</v>
      </c>
      <c r="P331" s="2">
        <f>Tabela1[[#This Row],[orcamento_aprovado]]-Tabela1[[#This Row],[custo_real_acumulado]]</f>
        <v>58744.159999999974</v>
      </c>
      <c r="Q331" t="str">
        <f>IF(Tabela1[[#This Row],[data_fim_real]]="","",Tabela1[[#This Row],[data_fim_real]]-Tabela1[[#This Row],[data_inicio_real]])</f>
        <v/>
      </c>
    </row>
    <row r="332" spans="1:17" ht="16.5" x14ac:dyDescent="0.5">
      <c r="A332" t="s">
        <v>871</v>
      </c>
      <c r="B332" t="s">
        <v>872</v>
      </c>
      <c r="C332" t="s">
        <v>756</v>
      </c>
      <c r="D332" t="s">
        <v>50</v>
      </c>
      <c r="E332" t="s">
        <v>19</v>
      </c>
      <c r="F332" s="1">
        <v>46106</v>
      </c>
      <c r="G332" s="1">
        <v>46177</v>
      </c>
      <c r="H332" s="1">
        <v>46103</v>
      </c>
      <c r="I332" s="1"/>
      <c r="J332" s="2">
        <v>94380.77</v>
      </c>
      <c r="K332" s="2">
        <v>77275.34</v>
      </c>
      <c r="L332" s="2">
        <v>122516.12</v>
      </c>
      <c r="M332">
        <v>3629</v>
      </c>
      <c r="N332">
        <v>2436</v>
      </c>
      <c r="O332" t="s">
        <v>21</v>
      </c>
      <c r="P332" s="2">
        <f>Tabela1[[#This Row],[orcamento_aprovado]]-Tabela1[[#This Row],[custo_real_acumulado]]</f>
        <v>17105.430000000008</v>
      </c>
      <c r="Q332" t="str">
        <f>IF(Tabela1[[#This Row],[data_fim_real]]="","",Tabela1[[#This Row],[data_fim_real]]-Tabela1[[#This Row],[data_inicio_real]])</f>
        <v/>
      </c>
    </row>
    <row r="333" spans="1:17" ht="16.5" x14ac:dyDescent="0.5">
      <c r="A333" t="s">
        <v>873</v>
      </c>
      <c r="B333" t="s">
        <v>874</v>
      </c>
      <c r="C333" t="s">
        <v>474</v>
      </c>
      <c r="D333" t="s">
        <v>33</v>
      </c>
      <c r="E333" t="s">
        <v>43</v>
      </c>
      <c r="F333" s="1">
        <v>46098</v>
      </c>
      <c r="G333" s="1">
        <v>46146</v>
      </c>
      <c r="H333" s="1">
        <v>46098</v>
      </c>
      <c r="I333" s="1">
        <v>46146</v>
      </c>
      <c r="J333" s="2">
        <v>107693.33</v>
      </c>
      <c r="K333" s="2">
        <v>117285.89</v>
      </c>
      <c r="L333" s="2">
        <v>210262.85</v>
      </c>
      <c r="M333">
        <v>1397</v>
      </c>
      <c r="N333">
        <v>1353</v>
      </c>
      <c r="O333" t="s">
        <v>26</v>
      </c>
      <c r="P333" s="2">
        <f>Tabela1[[#This Row],[orcamento_aprovado]]-Tabela1[[#This Row],[custo_real_acumulado]]</f>
        <v>-9592.5599999999977</v>
      </c>
      <c r="Q333">
        <f>IF(Tabela1[[#This Row],[data_fim_real]]="","",Tabela1[[#This Row],[data_fim_real]]-Tabela1[[#This Row],[data_inicio_real]])</f>
        <v>48</v>
      </c>
    </row>
    <row r="334" spans="1:17" ht="16.5" x14ac:dyDescent="0.5">
      <c r="A334" t="s">
        <v>875</v>
      </c>
      <c r="B334" t="s">
        <v>876</v>
      </c>
      <c r="C334" t="s">
        <v>877</v>
      </c>
      <c r="D334" t="s">
        <v>58</v>
      </c>
      <c r="E334" t="s">
        <v>43</v>
      </c>
      <c r="F334" s="1">
        <v>46292</v>
      </c>
      <c r="G334" s="1">
        <v>46377</v>
      </c>
      <c r="H334" s="1">
        <v>46280</v>
      </c>
      <c r="I334" s="1"/>
      <c r="J334" s="2">
        <v>253510.04</v>
      </c>
      <c r="K334" s="2">
        <v>137612.07999999999</v>
      </c>
      <c r="L334" s="2">
        <v>120055.03999999999</v>
      </c>
      <c r="M334">
        <v>1736</v>
      </c>
      <c r="N334">
        <v>783</v>
      </c>
      <c r="O334" t="s">
        <v>34</v>
      </c>
      <c r="P334" s="2">
        <f>Tabela1[[#This Row],[orcamento_aprovado]]-Tabela1[[#This Row],[custo_real_acumulado]]</f>
        <v>115897.96000000002</v>
      </c>
      <c r="Q334" t="str">
        <f>IF(Tabela1[[#This Row],[data_fim_real]]="","",Tabela1[[#This Row],[data_fim_real]]-Tabela1[[#This Row],[data_inicio_real]])</f>
        <v/>
      </c>
    </row>
    <row r="335" spans="1:17" ht="16.5" x14ac:dyDescent="0.5">
      <c r="A335" t="s">
        <v>878</v>
      </c>
      <c r="B335" t="s">
        <v>879</v>
      </c>
      <c r="C335" t="s">
        <v>115</v>
      </c>
      <c r="D335" t="s">
        <v>25</v>
      </c>
      <c r="E335" t="s">
        <v>42</v>
      </c>
      <c r="F335" s="1">
        <v>46220</v>
      </c>
      <c r="G335" s="1">
        <v>46339</v>
      </c>
      <c r="H335" s="1">
        <v>46225</v>
      </c>
      <c r="I335" s="1"/>
      <c r="J335" s="2">
        <v>50000</v>
      </c>
      <c r="K335" s="2">
        <v>14151</v>
      </c>
      <c r="L335" s="2">
        <v>17527.79</v>
      </c>
      <c r="M335">
        <v>3810</v>
      </c>
      <c r="N335">
        <v>842</v>
      </c>
      <c r="O335" t="s">
        <v>21</v>
      </c>
      <c r="P335" s="2">
        <f>Tabela1[[#This Row],[orcamento_aprovado]]-Tabela1[[#This Row],[custo_real_acumulado]]</f>
        <v>35849</v>
      </c>
      <c r="Q335" t="str">
        <f>IF(Tabela1[[#This Row],[data_fim_real]]="","",Tabela1[[#This Row],[data_fim_real]]-Tabela1[[#This Row],[data_inicio_real]])</f>
        <v/>
      </c>
    </row>
    <row r="336" spans="1:17" ht="16.5" x14ac:dyDescent="0.5">
      <c r="A336" t="s">
        <v>880</v>
      </c>
      <c r="B336" t="s">
        <v>881</v>
      </c>
      <c r="C336" t="s">
        <v>782</v>
      </c>
      <c r="D336" t="s">
        <v>54</v>
      </c>
      <c r="E336" t="s">
        <v>19</v>
      </c>
      <c r="F336" s="1">
        <v>46096</v>
      </c>
      <c r="G336" s="1">
        <v>46184</v>
      </c>
      <c r="H336" s="1">
        <v>46091</v>
      </c>
      <c r="I336" s="1">
        <v>46163</v>
      </c>
      <c r="J336" s="2">
        <v>143288.97</v>
      </c>
      <c r="K336" s="2">
        <v>127851.04</v>
      </c>
      <c r="L336" s="2">
        <v>264284.59000000003</v>
      </c>
      <c r="M336">
        <v>2364</v>
      </c>
      <c r="N336">
        <v>2497</v>
      </c>
      <c r="O336" t="s">
        <v>26</v>
      </c>
      <c r="P336" s="2">
        <f>Tabela1[[#This Row],[orcamento_aprovado]]-Tabela1[[#This Row],[custo_real_acumulado]]</f>
        <v>15437.930000000008</v>
      </c>
      <c r="Q336">
        <f>IF(Tabela1[[#This Row],[data_fim_real]]="","",Tabela1[[#This Row],[data_fim_real]]-Tabela1[[#This Row],[data_inicio_real]])</f>
        <v>72</v>
      </c>
    </row>
    <row r="337" spans="1:17" ht="16.5" x14ac:dyDescent="0.5">
      <c r="A337" t="s">
        <v>882</v>
      </c>
      <c r="B337" t="s">
        <v>883</v>
      </c>
      <c r="C337" t="s">
        <v>92</v>
      </c>
      <c r="D337" t="s">
        <v>71</v>
      </c>
      <c r="E337" t="s">
        <v>20</v>
      </c>
      <c r="F337" s="1">
        <v>46177</v>
      </c>
      <c r="G337" s="1">
        <v>46258</v>
      </c>
      <c r="H337" s="1">
        <v>46179</v>
      </c>
      <c r="I337" s="1"/>
      <c r="J337" s="2">
        <v>68247.92</v>
      </c>
      <c r="K337" s="2">
        <v>35031.440000000002</v>
      </c>
      <c r="L337" s="2">
        <v>43282.25</v>
      </c>
      <c r="M337">
        <v>1621</v>
      </c>
      <c r="N337">
        <v>1057</v>
      </c>
      <c r="O337" t="s">
        <v>34</v>
      </c>
      <c r="P337" s="2">
        <f>Tabela1[[#This Row],[orcamento_aprovado]]-Tabela1[[#This Row],[custo_real_acumulado]]</f>
        <v>33216.479999999996</v>
      </c>
      <c r="Q337" t="str">
        <f>IF(Tabela1[[#This Row],[data_fim_real]]="","",Tabela1[[#This Row],[data_fim_real]]-Tabela1[[#This Row],[data_inicio_real]])</f>
        <v/>
      </c>
    </row>
    <row r="338" spans="1:17" ht="16.5" x14ac:dyDescent="0.5">
      <c r="A338" t="s">
        <v>884</v>
      </c>
      <c r="B338" t="s">
        <v>885</v>
      </c>
      <c r="C338" t="s">
        <v>151</v>
      </c>
      <c r="D338" t="s">
        <v>78</v>
      </c>
      <c r="E338" t="s">
        <v>20</v>
      </c>
      <c r="F338" s="1">
        <v>46164</v>
      </c>
      <c r="G338" s="1">
        <v>46252</v>
      </c>
      <c r="H338" s="1">
        <v>46158</v>
      </c>
      <c r="I338" s="1"/>
      <c r="J338" s="2">
        <v>68397.33</v>
      </c>
      <c r="K338" s="2">
        <v>36881.1</v>
      </c>
      <c r="L338" s="2">
        <v>118612.75</v>
      </c>
      <c r="M338">
        <v>573</v>
      </c>
      <c r="N338">
        <v>321</v>
      </c>
      <c r="O338" t="s">
        <v>21</v>
      </c>
      <c r="P338" s="2">
        <f>Tabela1[[#This Row],[orcamento_aprovado]]-Tabela1[[#This Row],[custo_real_acumulado]]</f>
        <v>31516.230000000003</v>
      </c>
      <c r="Q338" t="str">
        <f>IF(Tabela1[[#This Row],[data_fim_real]]="","",Tabela1[[#This Row],[data_fim_real]]-Tabela1[[#This Row],[data_inicio_real]])</f>
        <v/>
      </c>
    </row>
    <row r="339" spans="1:17" ht="16.5" x14ac:dyDescent="0.5">
      <c r="A339" t="s">
        <v>886</v>
      </c>
      <c r="B339" t="s">
        <v>887</v>
      </c>
      <c r="C339" t="s">
        <v>888</v>
      </c>
      <c r="D339" t="s">
        <v>142</v>
      </c>
      <c r="E339" t="s">
        <v>20</v>
      </c>
      <c r="F339" s="1">
        <v>46205</v>
      </c>
      <c r="G339" s="1">
        <v>46297</v>
      </c>
      <c r="H339" s="1">
        <v>46205</v>
      </c>
      <c r="I339" s="1"/>
      <c r="J339" s="2">
        <v>54490.42</v>
      </c>
      <c r="K339" s="2">
        <v>40973.11</v>
      </c>
      <c r="L339" s="2">
        <v>116599.76</v>
      </c>
      <c r="M339">
        <v>1023</v>
      </c>
      <c r="N339">
        <v>544</v>
      </c>
      <c r="O339" t="s">
        <v>26</v>
      </c>
      <c r="P339" s="2">
        <f>Tabela1[[#This Row],[orcamento_aprovado]]-Tabela1[[#This Row],[custo_real_acumulado]]</f>
        <v>13517.309999999998</v>
      </c>
      <c r="Q339" t="str">
        <f>IF(Tabela1[[#This Row],[data_fim_real]]="","",Tabela1[[#This Row],[data_fim_real]]-Tabela1[[#This Row],[data_inicio_real]])</f>
        <v/>
      </c>
    </row>
    <row r="340" spans="1:17" ht="16.5" x14ac:dyDescent="0.5">
      <c r="A340" t="s">
        <v>889</v>
      </c>
      <c r="B340" t="s">
        <v>890</v>
      </c>
      <c r="C340" t="s">
        <v>891</v>
      </c>
      <c r="D340" t="s">
        <v>25</v>
      </c>
      <c r="E340" t="s">
        <v>43</v>
      </c>
      <c r="F340" s="1">
        <v>46161</v>
      </c>
      <c r="G340" s="1">
        <v>46229</v>
      </c>
      <c r="H340" s="1">
        <v>46155</v>
      </c>
      <c r="I340" s="1">
        <v>46221</v>
      </c>
      <c r="J340" s="2">
        <v>129993.94</v>
      </c>
      <c r="K340" s="2">
        <v>117271.2</v>
      </c>
      <c r="L340" s="2">
        <v>197917.72</v>
      </c>
      <c r="M340">
        <v>2983</v>
      </c>
      <c r="N340">
        <v>2704</v>
      </c>
      <c r="O340" t="s">
        <v>34</v>
      </c>
      <c r="P340" s="2">
        <f>Tabela1[[#This Row],[orcamento_aprovado]]-Tabela1[[#This Row],[custo_real_acumulado]]</f>
        <v>12722.740000000005</v>
      </c>
      <c r="Q340">
        <f>IF(Tabela1[[#This Row],[data_fim_real]]="","",Tabela1[[#This Row],[data_fim_real]]-Tabela1[[#This Row],[data_inicio_real]])</f>
        <v>66</v>
      </c>
    </row>
    <row r="341" spans="1:17" ht="16.5" x14ac:dyDescent="0.5">
      <c r="A341" t="s">
        <v>892</v>
      </c>
      <c r="B341" t="s">
        <v>893</v>
      </c>
      <c r="C341" t="s">
        <v>224</v>
      </c>
      <c r="D341" t="s">
        <v>38</v>
      </c>
      <c r="E341" t="s">
        <v>42</v>
      </c>
      <c r="F341" s="1">
        <v>46119</v>
      </c>
      <c r="G341" s="1">
        <v>46192</v>
      </c>
      <c r="H341" s="1">
        <v>46117</v>
      </c>
      <c r="I341" s="1"/>
      <c r="J341" s="2">
        <v>210274.53</v>
      </c>
      <c r="K341" s="2">
        <v>146759.91</v>
      </c>
      <c r="L341" s="2">
        <v>128450.57</v>
      </c>
      <c r="M341">
        <v>2474</v>
      </c>
      <c r="N341">
        <v>1699</v>
      </c>
      <c r="O341" t="s">
        <v>21</v>
      </c>
      <c r="P341" s="2">
        <f>Tabela1[[#This Row],[orcamento_aprovado]]-Tabela1[[#This Row],[custo_real_acumulado]]</f>
        <v>63514.619999999995</v>
      </c>
      <c r="Q341" t="str">
        <f>IF(Tabela1[[#This Row],[data_fim_real]]="","",Tabela1[[#This Row],[data_fim_real]]-Tabela1[[#This Row],[data_inicio_real]])</f>
        <v/>
      </c>
    </row>
    <row r="342" spans="1:17" ht="16.5" x14ac:dyDescent="0.5">
      <c r="A342" t="s">
        <v>894</v>
      </c>
      <c r="B342" t="s">
        <v>895</v>
      </c>
      <c r="C342" t="s">
        <v>896</v>
      </c>
      <c r="D342" t="s">
        <v>71</v>
      </c>
      <c r="E342" t="s">
        <v>20</v>
      </c>
      <c r="F342" s="1">
        <v>46088</v>
      </c>
      <c r="G342" s="1">
        <v>46216</v>
      </c>
      <c r="H342" s="1">
        <v>46078</v>
      </c>
      <c r="I342" s="1"/>
      <c r="J342" s="2">
        <v>50000</v>
      </c>
      <c r="K342" s="2">
        <v>4523.16</v>
      </c>
      <c r="L342" s="2">
        <v>104371.33</v>
      </c>
      <c r="M342">
        <v>4022</v>
      </c>
      <c r="N342">
        <v>424</v>
      </c>
      <c r="O342" t="s">
        <v>26</v>
      </c>
      <c r="P342" s="2">
        <f>Tabela1[[#This Row],[orcamento_aprovado]]-Tabela1[[#This Row],[custo_real_acumulado]]</f>
        <v>45476.84</v>
      </c>
      <c r="Q342" t="str">
        <f>IF(Tabela1[[#This Row],[data_fim_real]]="","",Tabela1[[#This Row],[data_fim_real]]-Tabela1[[#This Row],[data_inicio_real]])</f>
        <v/>
      </c>
    </row>
    <row r="343" spans="1:17" ht="16.5" x14ac:dyDescent="0.5">
      <c r="A343" t="s">
        <v>897</v>
      </c>
      <c r="B343" t="s">
        <v>898</v>
      </c>
      <c r="C343" t="s">
        <v>899</v>
      </c>
      <c r="D343" t="s">
        <v>142</v>
      </c>
      <c r="E343" t="s">
        <v>20</v>
      </c>
      <c r="F343" s="1">
        <v>46083</v>
      </c>
      <c r="G343" s="1">
        <v>46124</v>
      </c>
      <c r="H343" s="1">
        <v>46094</v>
      </c>
      <c r="I343" s="1"/>
      <c r="J343" s="2">
        <v>50000</v>
      </c>
      <c r="K343" s="2">
        <v>39062.86</v>
      </c>
      <c r="L343" s="2">
        <v>37327.97</v>
      </c>
      <c r="M343">
        <v>1127</v>
      </c>
      <c r="N343">
        <v>857</v>
      </c>
      <c r="O343" t="s">
        <v>34</v>
      </c>
      <c r="P343" s="2">
        <f>Tabela1[[#This Row],[orcamento_aprovado]]-Tabela1[[#This Row],[custo_real_acumulado]]</f>
        <v>10937.14</v>
      </c>
      <c r="Q343" t="str">
        <f>IF(Tabela1[[#This Row],[data_fim_real]]="","",Tabela1[[#This Row],[data_fim_real]]-Tabela1[[#This Row],[data_inicio_real]])</f>
        <v/>
      </c>
    </row>
    <row r="344" spans="1:17" ht="16.5" x14ac:dyDescent="0.5">
      <c r="A344" t="s">
        <v>900</v>
      </c>
      <c r="B344" t="s">
        <v>901</v>
      </c>
      <c r="C344" t="s">
        <v>902</v>
      </c>
      <c r="D344" t="s">
        <v>33</v>
      </c>
      <c r="E344" t="s">
        <v>20</v>
      </c>
      <c r="F344" s="1">
        <v>46203</v>
      </c>
      <c r="G344" s="1">
        <v>46307</v>
      </c>
      <c r="H344" s="1">
        <v>46194</v>
      </c>
      <c r="I344" s="1">
        <v>46334</v>
      </c>
      <c r="J344" s="2">
        <v>99839.52</v>
      </c>
      <c r="K344" s="2">
        <v>90284.71</v>
      </c>
      <c r="L344" s="2">
        <v>215367.08</v>
      </c>
      <c r="M344">
        <v>2876</v>
      </c>
      <c r="N344">
        <v>2694</v>
      </c>
      <c r="O344" t="s">
        <v>21</v>
      </c>
      <c r="P344" s="2">
        <f>Tabela1[[#This Row],[orcamento_aprovado]]-Tabela1[[#This Row],[custo_real_acumulado]]</f>
        <v>9554.8099999999977</v>
      </c>
      <c r="Q344">
        <f>IF(Tabela1[[#This Row],[data_fim_real]]="","",Tabela1[[#This Row],[data_fim_real]]-Tabela1[[#This Row],[data_inicio_real]])</f>
        <v>140</v>
      </c>
    </row>
    <row r="345" spans="1:17" ht="16.5" x14ac:dyDescent="0.5">
      <c r="A345" t="s">
        <v>903</v>
      </c>
      <c r="B345" t="s">
        <v>904</v>
      </c>
      <c r="C345" t="s">
        <v>905</v>
      </c>
      <c r="D345" t="s">
        <v>54</v>
      </c>
      <c r="E345" t="s">
        <v>42</v>
      </c>
      <c r="F345" s="1">
        <v>46266</v>
      </c>
      <c r="G345" s="1">
        <v>46341</v>
      </c>
      <c r="H345" s="1">
        <v>46270</v>
      </c>
      <c r="I345" s="1"/>
      <c r="J345" s="2">
        <v>77751.64</v>
      </c>
      <c r="K345" s="2">
        <v>24189.91</v>
      </c>
      <c r="L345" s="2">
        <v>64907.6</v>
      </c>
      <c r="M345">
        <v>2113</v>
      </c>
      <c r="N345">
        <v>459</v>
      </c>
      <c r="O345" t="s">
        <v>26</v>
      </c>
      <c r="P345" s="2">
        <f>Tabela1[[#This Row],[orcamento_aprovado]]-Tabela1[[#This Row],[custo_real_acumulado]]</f>
        <v>53561.729999999996</v>
      </c>
      <c r="Q345" t="str">
        <f>IF(Tabela1[[#This Row],[data_fim_real]]="","",Tabela1[[#This Row],[data_fim_real]]-Tabela1[[#This Row],[data_inicio_real]])</f>
        <v/>
      </c>
    </row>
    <row r="346" spans="1:17" ht="16.5" x14ac:dyDescent="0.5">
      <c r="A346" t="s">
        <v>906</v>
      </c>
      <c r="B346" t="s">
        <v>907</v>
      </c>
      <c r="C346" t="s">
        <v>103</v>
      </c>
      <c r="D346" t="s">
        <v>18</v>
      </c>
      <c r="E346" t="s">
        <v>20</v>
      </c>
      <c r="F346" s="1">
        <v>46170</v>
      </c>
      <c r="G346" s="1">
        <v>46292</v>
      </c>
      <c r="H346" s="1">
        <v>46160</v>
      </c>
      <c r="I346" s="1"/>
      <c r="J346" s="2">
        <v>60559.06</v>
      </c>
      <c r="K346" s="2">
        <v>32214.99</v>
      </c>
      <c r="L346" s="2">
        <v>72768.600000000006</v>
      </c>
      <c r="M346">
        <v>1607</v>
      </c>
      <c r="N346">
        <v>777</v>
      </c>
      <c r="O346" t="s">
        <v>34</v>
      </c>
      <c r="P346" s="2">
        <f>Tabela1[[#This Row],[orcamento_aprovado]]-Tabela1[[#This Row],[custo_real_acumulado]]</f>
        <v>28344.069999999996</v>
      </c>
      <c r="Q346" t="str">
        <f>IF(Tabela1[[#This Row],[data_fim_real]]="","",Tabela1[[#This Row],[data_fim_real]]-Tabela1[[#This Row],[data_inicio_real]])</f>
        <v/>
      </c>
    </row>
    <row r="347" spans="1:17" ht="16.5" x14ac:dyDescent="0.5">
      <c r="A347" t="s">
        <v>908</v>
      </c>
      <c r="B347" t="s">
        <v>909</v>
      </c>
      <c r="C347" t="s">
        <v>745</v>
      </c>
      <c r="D347" t="s">
        <v>78</v>
      </c>
      <c r="E347" t="s">
        <v>20</v>
      </c>
      <c r="F347" s="1">
        <v>46211</v>
      </c>
      <c r="G347" s="1">
        <v>46260</v>
      </c>
      <c r="H347" s="1">
        <v>46208</v>
      </c>
      <c r="I347" s="1">
        <v>46246</v>
      </c>
      <c r="J347" s="2">
        <v>247398.77</v>
      </c>
      <c r="K347" s="2">
        <v>260366.89</v>
      </c>
      <c r="L347" s="2">
        <v>150609.20000000001</v>
      </c>
      <c r="M347">
        <v>2781</v>
      </c>
      <c r="N347">
        <v>2233</v>
      </c>
      <c r="O347" t="s">
        <v>21</v>
      </c>
      <c r="P347" s="2">
        <f>Tabela1[[#This Row],[orcamento_aprovado]]-Tabela1[[#This Row],[custo_real_acumulado]]</f>
        <v>-12968.120000000024</v>
      </c>
      <c r="Q347">
        <f>IF(Tabela1[[#This Row],[data_fim_real]]="","",Tabela1[[#This Row],[data_fim_real]]-Tabela1[[#This Row],[data_inicio_real]])</f>
        <v>38</v>
      </c>
    </row>
    <row r="348" spans="1:17" ht="16.5" x14ac:dyDescent="0.5">
      <c r="A348" t="s">
        <v>910</v>
      </c>
      <c r="B348" t="s">
        <v>911</v>
      </c>
      <c r="C348" t="s">
        <v>89</v>
      </c>
      <c r="D348" t="s">
        <v>54</v>
      </c>
      <c r="E348" t="s">
        <v>43</v>
      </c>
      <c r="F348" s="1">
        <v>46142</v>
      </c>
      <c r="G348" s="1">
        <v>46274</v>
      </c>
      <c r="H348" s="1">
        <v>46140</v>
      </c>
      <c r="I348" s="1"/>
      <c r="J348" s="2">
        <v>71027.55</v>
      </c>
      <c r="K348" s="2">
        <v>63644.04</v>
      </c>
      <c r="L348" s="2">
        <v>100718.44</v>
      </c>
      <c r="M348">
        <v>3570</v>
      </c>
      <c r="N348">
        <v>3321</v>
      </c>
      <c r="O348" t="s">
        <v>26</v>
      </c>
      <c r="P348" s="2">
        <f>Tabela1[[#This Row],[orcamento_aprovado]]-Tabela1[[#This Row],[custo_real_acumulado]]</f>
        <v>7383.510000000002</v>
      </c>
      <c r="Q348" t="str">
        <f>IF(Tabela1[[#This Row],[data_fim_real]]="","",Tabela1[[#This Row],[data_fim_real]]-Tabela1[[#This Row],[data_inicio_real]])</f>
        <v/>
      </c>
    </row>
    <row r="349" spans="1:17" ht="16.5" x14ac:dyDescent="0.5">
      <c r="A349" t="s">
        <v>912</v>
      </c>
      <c r="B349" t="s">
        <v>913</v>
      </c>
      <c r="C349" t="s">
        <v>914</v>
      </c>
      <c r="D349" t="s">
        <v>71</v>
      </c>
      <c r="E349" t="s">
        <v>20</v>
      </c>
      <c r="F349" s="1">
        <v>46141</v>
      </c>
      <c r="G349" s="1">
        <v>46165</v>
      </c>
      <c r="H349" s="1">
        <v>46143</v>
      </c>
      <c r="I349" s="1"/>
      <c r="J349" s="2">
        <v>282618.08</v>
      </c>
      <c r="K349" s="2">
        <v>63500.45</v>
      </c>
      <c r="L349" s="2">
        <v>345693.53</v>
      </c>
      <c r="M349">
        <v>1145</v>
      </c>
      <c r="N349">
        <v>181</v>
      </c>
      <c r="O349" t="s">
        <v>34</v>
      </c>
      <c r="P349" s="2">
        <f>Tabela1[[#This Row],[orcamento_aprovado]]-Tabela1[[#This Row],[custo_real_acumulado]]</f>
        <v>219117.63</v>
      </c>
      <c r="Q349" t="str">
        <f>IF(Tabela1[[#This Row],[data_fim_real]]="","",Tabela1[[#This Row],[data_fim_real]]-Tabela1[[#This Row],[data_inicio_real]])</f>
        <v/>
      </c>
    </row>
    <row r="350" spans="1:17" ht="16.5" x14ac:dyDescent="0.5">
      <c r="A350" t="s">
        <v>915</v>
      </c>
      <c r="B350" t="s">
        <v>916</v>
      </c>
      <c r="C350" t="s">
        <v>495</v>
      </c>
      <c r="D350" t="s">
        <v>54</v>
      </c>
      <c r="E350" t="s">
        <v>43</v>
      </c>
      <c r="F350" s="1">
        <v>46261</v>
      </c>
      <c r="G350" s="1">
        <v>46279</v>
      </c>
      <c r="H350" s="1"/>
      <c r="I350" s="1"/>
      <c r="J350" s="2">
        <v>82165.78</v>
      </c>
      <c r="K350" s="2">
        <v>0</v>
      </c>
      <c r="L350" s="2">
        <v>77011.759999999995</v>
      </c>
      <c r="M350">
        <v>201</v>
      </c>
      <c r="N350">
        <v>0</v>
      </c>
      <c r="O350" t="s">
        <v>21</v>
      </c>
      <c r="P350" s="2">
        <f>Tabela1[[#This Row],[orcamento_aprovado]]-Tabela1[[#This Row],[custo_real_acumulado]]</f>
        <v>82165.78</v>
      </c>
      <c r="Q350" t="str">
        <f>IF(Tabela1[[#This Row],[data_fim_real]]="","",Tabela1[[#This Row],[data_fim_real]]-Tabela1[[#This Row],[data_inicio_real]])</f>
        <v/>
      </c>
    </row>
    <row r="351" spans="1:17" ht="16.5" x14ac:dyDescent="0.5">
      <c r="A351" t="s">
        <v>917</v>
      </c>
      <c r="B351" t="s">
        <v>918</v>
      </c>
      <c r="C351" t="s">
        <v>919</v>
      </c>
      <c r="D351" t="s">
        <v>71</v>
      </c>
      <c r="E351" t="s">
        <v>19</v>
      </c>
      <c r="F351" s="1">
        <v>46360</v>
      </c>
      <c r="G351" s="1">
        <v>46387</v>
      </c>
      <c r="H351" s="1"/>
      <c r="I351" s="1"/>
      <c r="J351" s="2">
        <v>532689.94999999995</v>
      </c>
      <c r="K351" s="2">
        <v>0</v>
      </c>
      <c r="L351" s="2">
        <v>382947.56</v>
      </c>
      <c r="M351">
        <v>1031</v>
      </c>
      <c r="N351">
        <v>0</v>
      </c>
      <c r="O351" t="s">
        <v>26</v>
      </c>
      <c r="P351" s="2">
        <f>Tabela1[[#This Row],[orcamento_aprovado]]-Tabela1[[#This Row],[custo_real_acumulado]]</f>
        <v>532689.94999999995</v>
      </c>
      <c r="Q351" t="str">
        <f>IF(Tabela1[[#This Row],[data_fim_real]]="","",Tabela1[[#This Row],[data_fim_real]]-Tabela1[[#This Row],[data_inicio_real]])</f>
        <v/>
      </c>
    </row>
    <row r="352" spans="1:17" ht="16.5" x14ac:dyDescent="0.5">
      <c r="A352" t="s">
        <v>920</v>
      </c>
      <c r="B352" t="s">
        <v>921</v>
      </c>
      <c r="C352" t="s">
        <v>327</v>
      </c>
      <c r="D352" t="s">
        <v>50</v>
      </c>
      <c r="E352" t="s">
        <v>43</v>
      </c>
      <c r="F352" s="1">
        <v>46276</v>
      </c>
      <c r="G352" s="1">
        <v>46307</v>
      </c>
      <c r="H352" s="1">
        <v>46288</v>
      </c>
      <c r="I352" s="1"/>
      <c r="J352" s="2">
        <v>116117.19</v>
      </c>
      <c r="K352" s="2">
        <v>37325.519999999997</v>
      </c>
      <c r="L352" s="2">
        <v>177805.33</v>
      </c>
      <c r="M352">
        <v>847</v>
      </c>
      <c r="N352">
        <v>210</v>
      </c>
      <c r="O352" t="s">
        <v>34</v>
      </c>
      <c r="P352" s="2">
        <f>Tabela1[[#This Row],[orcamento_aprovado]]-Tabela1[[#This Row],[custo_real_acumulado]]</f>
        <v>78791.670000000013</v>
      </c>
      <c r="Q352" t="str">
        <f>IF(Tabela1[[#This Row],[data_fim_real]]="","",Tabela1[[#This Row],[data_fim_real]]-Tabela1[[#This Row],[data_inicio_real]])</f>
        <v/>
      </c>
    </row>
    <row r="353" spans="1:17" ht="16.5" x14ac:dyDescent="0.5">
      <c r="A353" t="s">
        <v>922</v>
      </c>
      <c r="B353" t="s">
        <v>923</v>
      </c>
      <c r="C353" t="s">
        <v>924</v>
      </c>
      <c r="D353" t="s">
        <v>25</v>
      </c>
      <c r="E353" t="s">
        <v>19</v>
      </c>
      <c r="F353" s="1">
        <v>46205</v>
      </c>
      <c r="G353" s="1">
        <v>46311</v>
      </c>
      <c r="H353" s="1">
        <v>46219</v>
      </c>
      <c r="I353" s="1"/>
      <c r="J353" s="2">
        <v>54442</v>
      </c>
      <c r="K353" s="2">
        <v>19912.45</v>
      </c>
      <c r="L353" s="2">
        <v>40571.14</v>
      </c>
      <c r="M353">
        <v>2526</v>
      </c>
      <c r="N353">
        <v>1071</v>
      </c>
      <c r="O353" t="s">
        <v>21</v>
      </c>
      <c r="P353" s="2">
        <f>Tabela1[[#This Row],[orcamento_aprovado]]-Tabela1[[#This Row],[custo_real_acumulado]]</f>
        <v>34529.550000000003</v>
      </c>
      <c r="Q353" t="str">
        <f>IF(Tabela1[[#This Row],[data_fim_real]]="","",Tabela1[[#This Row],[data_fim_real]]-Tabela1[[#This Row],[data_inicio_real]])</f>
        <v/>
      </c>
    </row>
    <row r="354" spans="1:17" ht="16.5" x14ac:dyDescent="0.5">
      <c r="A354" t="s">
        <v>925</v>
      </c>
      <c r="B354" t="s">
        <v>165</v>
      </c>
      <c r="C354" t="s">
        <v>406</v>
      </c>
      <c r="D354" t="s">
        <v>142</v>
      </c>
      <c r="E354" t="s">
        <v>20</v>
      </c>
      <c r="F354" s="1">
        <v>46159</v>
      </c>
      <c r="G354" s="1">
        <v>46217</v>
      </c>
      <c r="H354" s="1">
        <v>46163</v>
      </c>
      <c r="I354" s="1"/>
      <c r="J354" s="2">
        <v>212681.8</v>
      </c>
      <c r="K354" s="2">
        <v>36065.160000000003</v>
      </c>
      <c r="L354" s="2">
        <v>391499.74</v>
      </c>
      <c r="M354">
        <v>3614</v>
      </c>
      <c r="N354">
        <v>715</v>
      </c>
      <c r="O354" t="s">
        <v>26</v>
      </c>
      <c r="P354" s="2">
        <f>Tabela1[[#This Row],[orcamento_aprovado]]-Tabela1[[#This Row],[custo_real_acumulado]]</f>
        <v>176616.63999999998</v>
      </c>
      <c r="Q354" t="str">
        <f>IF(Tabela1[[#This Row],[data_fim_real]]="","",Tabela1[[#This Row],[data_fim_real]]-Tabela1[[#This Row],[data_inicio_real]])</f>
        <v/>
      </c>
    </row>
    <row r="355" spans="1:17" ht="16.5" x14ac:dyDescent="0.5">
      <c r="A355" t="s">
        <v>926</v>
      </c>
      <c r="B355" t="s">
        <v>927</v>
      </c>
      <c r="C355" t="s">
        <v>928</v>
      </c>
      <c r="D355" t="s">
        <v>71</v>
      </c>
      <c r="E355" t="s">
        <v>20</v>
      </c>
      <c r="F355" s="1">
        <v>46348</v>
      </c>
      <c r="G355" s="1">
        <v>46387</v>
      </c>
      <c r="H355" s="1">
        <v>46356</v>
      </c>
      <c r="I355" s="1">
        <v>46361</v>
      </c>
      <c r="J355" s="2">
        <v>68146.06</v>
      </c>
      <c r="K355" s="2">
        <v>34391.32</v>
      </c>
      <c r="L355" s="2">
        <v>26899.59</v>
      </c>
      <c r="M355">
        <v>1579</v>
      </c>
      <c r="N355">
        <v>731</v>
      </c>
      <c r="O355" t="s">
        <v>34</v>
      </c>
      <c r="P355" s="2">
        <f>Tabela1[[#This Row],[orcamento_aprovado]]-Tabela1[[#This Row],[custo_real_acumulado]]</f>
        <v>33754.74</v>
      </c>
      <c r="Q355">
        <f>IF(Tabela1[[#This Row],[data_fim_real]]="","",Tabela1[[#This Row],[data_fim_real]]-Tabela1[[#This Row],[data_inicio_real]])</f>
        <v>5</v>
      </c>
    </row>
    <row r="356" spans="1:17" ht="16.5" x14ac:dyDescent="0.5">
      <c r="A356" t="s">
        <v>929</v>
      </c>
      <c r="B356" t="s">
        <v>930</v>
      </c>
      <c r="C356" t="s">
        <v>931</v>
      </c>
      <c r="D356" t="s">
        <v>78</v>
      </c>
      <c r="E356" t="s">
        <v>43</v>
      </c>
      <c r="F356" s="1">
        <v>46356</v>
      </c>
      <c r="G356" s="1">
        <v>46387</v>
      </c>
      <c r="H356" s="1">
        <v>46359</v>
      </c>
      <c r="I356" s="1"/>
      <c r="J356" s="2">
        <v>92527.96</v>
      </c>
      <c r="K356" s="2">
        <v>38221.089999999997</v>
      </c>
      <c r="L356" s="2">
        <v>116226.11</v>
      </c>
      <c r="M356">
        <v>942</v>
      </c>
      <c r="N356">
        <v>382</v>
      </c>
      <c r="O356" t="s">
        <v>21</v>
      </c>
      <c r="P356" s="2">
        <f>Tabela1[[#This Row],[orcamento_aprovado]]-Tabela1[[#This Row],[custo_real_acumulado]]</f>
        <v>54306.87000000001</v>
      </c>
      <c r="Q356" t="str">
        <f>IF(Tabela1[[#This Row],[data_fim_real]]="","",Tabela1[[#This Row],[data_fim_real]]-Tabela1[[#This Row],[data_inicio_real]])</f>
        <v/>
      </c>
    </row>
    <row r="357" spans="1:17" ht="16.5" x14ac:dyDescent="0.5">
      <c r="A357" t="s">
        <v>932</v>
      </c>
      <c r="B357" t="s">
        <v>933</v>
      </c>
      <c r="C357" t="s">
        <v>934</v>
      </c>
      <c r="D357" t="s">
        <v>54</v>
      </c>
      <c r="E357" t="s">
        <v>20</v>
      </c>
      <c r="F357" s="1">
        <v>46349</v>
      </c>
      <c r="G357" s="1">
        <v>46387</v>
      </c>
      <c r="H357" s="1">
        <v>46352</v>
      </c>
      <c r="I357" s="1"/>
      <c r="J357" s="2">
        <v>115229.63</v>
      </c>
      <c r="K357" s="2">
        <v>57769.66</v>
      </c>
      <c r="L357" s="2">
        <v>248896</v>
      </c>
      <c r="M357">
        <v>571</v>
      </c>
      <c r="N357">
        <v>365</v>
      </c>
      <c r="O357" t="s">
        <v>26</v>
      </c>
      <c r="P357" s="2">
        <f>Tabela1[[#This Row],[orcamento_aprovado]]-Tabela1[[#This Row],[custo_real_acumulado]]</f>
        <v>57459.97</v>
      </c>
      <c r="Q357" t="str">
        <f>IF(Tabela1[[#This Row],[data_fim_real]]="","",Tabela1[[#This Row],[data_fim_real]]-Tabela1[[#This Row],[data_inicio_real]])</f>
        <v/>
      </c>
    </row>
    <row r="358" spans="1:17" ht="16.5" x14ac:dyDescent="0.5">
      <c r="A358" t="s">
        <v>935</v>
      </c>
      <c r="B358" t="s">
        <v>936</v>
      </c>
      <c r="C358" t="s">
        <v>460</v>
      </c>
      <c r="D358" t="s">
        <v>58</v>
      </c>
      <c r="E358" t="s">
        <v>43</v>
      </c>
      <c r="F358" s="1">
        <v>46143</v>
      </c>
      <c r="G358" s="1">
        <v>46221</v>
      </c>
      <c r="H358" s="1">
        <v>46143</v>
      </c>
      <c r="I358" s="1"/>
      <c r="J358" s="2">
        <v>64356.59</v>
      </c>
      <c r="K358" s="2">
        <v>31127.5</v>
      </c>
      <c r="L358" s="2">
        <v>115773.42</v>
      </c>
      <c r="M358">
        <v>2022</v>
      </c>
      <c r="N358">
        <v>1020</v>
      </c>
      <c r="O358" t="s">
        <v>34</v>
      </c>
      <c r="P358" s="2">
        <f>Tabela1[[#This Row],[orcamento_aprovado]]-Tabela1[[#This Row],[custo_real_acumulado]]</f>
        <v>33229.089999999997</v>
      </c>
      <c r="Q358" t="str">
        <f>IF(Tabela1[[#This Row],[data_fim_real]]="","",Tabela1[[#This Row],[data_fim_real]]-Tabela1[[#This Row],[data_inicio_real]])</f>
        <v/>
      </c>
    </row>
    <row r="359" spans="1:17" ht="16.5" x14ac:dyDescent="0.5">
      <c r="A359" t="s">
        <v>937</v>
      </c>
      <c r="B359" t="s">
        <v>938</v>
      </c>
      <c r="C359" t="s">
        <v>555</v>
      </c>
      <c r="D359" t="s">
        <v>58</v>
      </c>
      <c r="E359" t="s">
        <v>43</v>
      </c>
      <c r="F359" s="1">
        <v>46304</v>
      </c>
      <c r="G359" s="1">
        <v>46387</v>
      </c>
      <c r="H359" s="1">
        <v>46298</v>
      </c>
      <c r="I359" s="1"/>
      <c r="J359" s="2">
        <v>50000</v>
      </c>
      <c r="K359" s="2">
        <v>25685.439999999999</v>
      </c>
      <c r="L359" s="2">
        <v>63083.29</v>
      </c>
      <c r="M359">
        <v>659</v>
      </c>
      <c r="N359">
        <v>368</v>
      </c>
      <c r="O359" t="s">
        <v>21</v>
      </c>
      <c r="P359" s="2">
        <f>Tabela1[[#This Row],[orcamento_aprovado]]-Tabela1[[#This Row],[custo_real_acumulado]]</f>
        <v>24314.560000000001</v>
      </c>
      <c r="Q359" t="str">
        <f>IF(Tabela1[[#This Row],[data_fim_real]]="","",Tabela1[[#This Row],[data_fim_real]]-Tabela1[[#This Row],[data_inicio_real]])</f>
        <v/>
      </c>
    </row>
    <row r="360" spans="1:17" ht="16.5" x14ac:dyDescent="0.5">
      <c r="A360" t="s">
        <v>939</v>
      </c>
      <c r="B360" t="s">
        <v>940</v>
      </c>
      <c r="C360" t="s">
        <v>89</v>
      </c>
      <c r="D360" t="s">
        <v>18</v>
      </c>
      <c r="E360" t="s">
        <v>42</v>
      </c>
      <c r="F360" s="1">
        <v>46279</v>
      </c>
      <c r="G360" s="1">
        <v>46325</v>
      </c>
      <c r="H360" s="1">
        <v>46279</v>
      </c>
      <c r="I360" s="1"/>
      <c r="J360" s="2">
        <v>91029.61</v>
      </c>
      <c r="K360" s="2">
        <v>82513.929999999993</v>
      </c>
      <c r="L360" s="2">
        <v>164628.38</v>
      </c>
      <c r="M360">
        <v>968</v>
      </c>
      <c r="N360">
        <v>800</v>
      </c>
      <c r="O360" t="s">
        <v>26</v>
      </c>
      <c r="P360" s="2">
        <f>Tabela1[[#This Row],[orcamento_aprovado]]-Tabela1[[#This Row],[custo_real_acumulado]]</f>
        <v>8515.6800000000076</v>
      </c>
      <c r="Q360" t="str">
        <f>IF(Tabela1[[#This Row],[data_fim_real]]="","",Tabela1[[#This Row],[data_fim_real]]-Tabela1[[#This Row],[data_inicio_real]])</f>
        <v/>
      </c>
    </row>
    <row r="361" spans="1:17" ht="16.5" x14ac:dyDescent="0.5">
      <c r="A361" t="s">
        <v>941</v>
      </c>
      <c r="B361" t="s">
        <v>942</v>
      </c>
      <c r="C361" t="s">
        <v>406</v>
      </c>
      <c r="D361" t="s">
        <v>58</v>
      </c>
      <c r="E361" t="s">
        <v>20</v>
      </c>
      <c r="F361" s="1">
        <v>46232</v>
      </c>
      <c r="G361" s="1">
        <v>46316</v>
      </c>
      <c r="H361" s="1">
        <v>46239</v>
      </c>
      <c r="I361" s="1"/>
      <c r="J361" s="2">
        <v>50000</v>
      </c>
      <c r="K361" s="2">
        <v>3086.76</v>
      </c>
      <c r="L361" s="2">
        <v>50848.11</v>
      </c>
      <c r="M361">
        <v>1944</v>
      </c>
      <c r="N361">
        <v>94</v>
      </c>
      <c r="O361" t="s">
        <v>34</v>
      </c>
      <c r="P361" s="2">
        <f>Tabela1[[#This Row],[orcamento_aprovado]]-Tabela1[[#This Row],[custo_real_acumulado]]</f>
        <v>46913.24</v>
      </c>
      <c r="Q361" t="str">
        <f>IF(Tabela1[[#This Row],[data_fim_real]]="","",Tabela1[[#This Row],[data_fim_real]]-Tabela1[[#This Row],[data_inicio_real]])</f>
        <v/>
      </c>
    </row>
    <row r="362" spans="1:17" ht="16.5" x14ac:dyDescent="0.5">
      <c r="A362" t="s">
        <v>943</v>
      </c>
      <c r="B362" t="s">
        <v>944</v>
      </c>
      <c r="C362" t="s">
        <v>67</v>
      </c>
      <c r="D362" t="s">
        <v>54</v>
      </c>
      <c r="E362" t="s">
        <v>43</v>
      </c>
      <c r="F362" s="1">
        <v>46040</v>
      </c>
      <c r="G362" s="1">
        <v>46137</v>
      </c>
      <c r="H362" s="1">
        <v>46057</v>
      </c>
      <c r="I362" s="1"/>
      <c r="J362" s="2">
        <v>180807.95</v>
      </c>
      <c r="K362" s="2">
        <v>74145.06</v>
      </c>
      <c r="L362" s="2">
        <v>72202.09</v>
      </c>
      <c r="M362">
        <v>2024</v>
      </c>
      <c r="N362">
        <v>758</v>
      </c>
      <c r="O362" t="s">
        <v>21</v>
      </c>
      <c r="P362" s="2">
        <f>Tabela1[[#This Row],[orcamento_aprovado]]-Tabela1[[#This Row],[custo_real_acumulado]]</f>
        <v>106662.89000000001</v>
      </c>
      <c r="Q362" t="str">
        <f>IF(Tabela1[[#This Row],[data_fim_real]]="","",Tabela1[[#This Row],[data_fim_real]]-Tabela1[[#This Row],[data_inicio_real]])</f>
        <v/>
      </c>
    </row>
    <row r="363" spans="1:17" ht="16.5" x14ac:dyDescent="0.5">
      <c r="A363" t="s">
        <v>945</v>
      </c>
      <c r="B363" t="s">
        <v>946</v>
      </c>
      <c r="C363" t="s">
        <v>495</v>
      </c>
      <c r="D363" t="s">
        <v>58</v>
      </c>
      <c r="E363" t="s">
        <v>43</v>
      </c>
      <c r="F363" s="1">
        <v>46069</v>
      </c>
      <c r="G363" s="1">
        <v>46184</v>
      </c>
      <c r="H363" s="1">
        <v>46071</v>
      </c>
      <c r="I363" s="1"/>
      <c r="J363" s="2">
        <v>170105.2</v>
      </c>
      <c r="K363" s="2">
        <v>38148.69</v>
      </c>
      <c r="L363" s="2">
        <v>278046.74</v>
      </c>
      <c r="M363">
        <v>2737</v>
      </c>
      <c r="N363">
        <v>495</v>
      </c>
      <c r="O363" t="s">
        <v>26</v>
      </c>
      <c r="P363" s="2">
        <f>Tabela1[[#This Row],[orcamento_aprovado]]-Tabela1[[#This Row],[custo_real_acumulado]]</f>
        <v>131956.51</v>
      </c>
      <c r="Q363" t="str">
        <f>IF(Tabela1[[#This Row],[data_fim_real]]="","",Tabela1[[#This Row],[data_fim_real]]-Tabela1[[#This Row],[data_inicio_real]])</f>
        <v/>
      </c>
    </row>
    <row r="364" spans="1:17" ht="16.5" x14ac:dyDescent="0.5">
      <c r="A364" t="s">
        <v>947</v>
      </c>
      <c r="B364" t="s">
        <v>948</v>
      </c>
      <c r="C364" t="s">
        <v>949</v>
      </c>
      <c r="D364" t="s">
        <v>71</v>
      </c>
      <c r="E364" t="s">
        <v>42</v>
      </c>
      <c r="F364" s="1">
        <v>46380</v>
      </c>
      <c r="G364" s="1">
        <v>46387</v>
      </c>
      <c r="H364" s="1">
        <v>46375</v>
      </c>
      <c r="I364" s="1"/>
      <c r="J364" s="2">
        <v>120358.46</v>
      </c>
      <c r="K364" s="2">
        <v>19086.3</v>
      </c>
      <c r="L364" s="2">
        <v>59508.97</v>
      </c>
      <c r="M364">
        <v>351</v>
      </c>
      <c r="N364">
        <v>53</v>
      </c>
      <c r="O364" t="s">
        <v>34</v>
      </c>
      <c r="P364" s="2">
        <f>Tabela1[[#This Row],[orcamento_aprovado]]-Tabela1[[#This Row],[custo_real_acumulado]]</f>
        <v>101272.16</v>
      </c>
      <c r="Q364" t="str">
        <f>IF(Tabela1[[#This Row],[data_fim_real]]="","",Tabela1[[#This Row],[data_fim_real]]-Tabela1[[#This Row],[data_inicio_real]])</f>
        <v/>
      </c>
    </row>
    <row r="365" spans="1:17" ht="16.5" x14ac:dyDescent="0.5">
      <c r="A365" t="s">
        <v>950</v>
      </c>
      <c r="B365" t="s">
        <v>951</v>
      </c>
      <c r="C365" t="s">
        <v>808</v>
      </c>
      <c r="D365" t="s">
        <v>54</v>
      </c>
      <c r="E365" t="s">
        <v>43</v>
      </c>
      <c r="F365" s="1">
        <v>46103</v>
      </c>
      <c r="G365" s="1">
        <v>46227</v>
      </c>
      <c r="H365" s="1">
        <v>46108</v>
      </c>
      <c r="I365" s="1"/>
      <c r="J365" s="2">
        <v>102516.85</v>
      </c>
      <c r="K365" s="2">
        <v>68559.98</v>
      </c>
      <c r="L365" s="2">
        <v>215055.24</v>
      </c>
      <c r="M365">
        <v>2573</v>
      </c>
      <c r="N365">
        <v>1516</v>
      </c>
      <c r="O365" t="s">
        <v>21</v>
      </c>
      <c r="P365" s="2">
        <f>Tabela1[[#This Row],[orcamento_aprovado]]-Tabela1[[#This Row],[custo_real_acumulado]]</f>
        <v>33956.87000000001</v>
      </c>
      <c r="Q365" t="str">
        <f>IF(Tabela1[[#This Row],[data_fim_real]]="","",Tabela1[[#This Row],[data_fim_real]]-Tabela1[[#This Row],[data_inicio_real]])</f>
        <v/>
      </c>
    </row>
    <row r="366" spans="1:17" ht="16.5" x14ac:dyDescent="0.5">
      <c r="A366" t="s">
        <v>952</v>
      </c>
      <c r="B366" t="s">
        <v>953</v>
      </c>
      <c r="C366" t="s">
        <v>928</v>
      </c>
      <c r="D366" t="s">
        <v>58</v>
      </c>
      <c r="E366" t="s">
        <v>43</v>
      </c>
      <c r="F366" s="1">
        <v>46033</v>
      </c>
      <c r="G366" s="1">
        <v>46103</v>
      </c>
      <c r="H366" s="1">
        <v>46030</v>
      </c>
      <c r="I366" s="1">
        <v>46079</v>
      </c>
      <c r="J366" s="2">
        <v>92902.22</v>
      </c>
      <c r="K366" s="2">
        <v>94106.53</v>
      </c>
      <c r="L366" s="2">
        <v>202014.21</v>
      </c>
      <c r="M366">
        <v>2000</v>
      </c>
      <c r="N366">
        <v>2049</v>
      </c>
      <c r="O366" t="s">
        <v>26</v>
      </c>
      <c r="P366" s="2">
        <f>Tabela1[[#This Row],[orcamento_aprovado]]-Tabela1[[#This Row],[custo_real_acumulado]]</f>
        <v>-1204.3099999999977</v>
      </c>
      <c r="Q366">
        <f>IF(Tabela1[[#This Row],[data_fim_real]]="","",Tabela1[[#This Row],[data_fim_real]]-Tabela1[[#This Row],[data_inicio_real]])</f>
        <v>49</v>
      </c>
    </row>
    <row r="367" spans="1:17" ht="16.5" x14ac:dyDescent="0.5">
      <c r="A367" t="s">
        <v>954</v>
      </c>
      <c r="B367" t="s">
        <v>955</v>
      </c>
      <c r="C367" t="s">
        <v>956</v>
      </c>
      <c r="D367" t="s">
        <v>54</v>
      </c>
      <c r="E367" t="s">
        <v>42</v>
      </c>
      <c r="F367" s="1">
        <v>46292</v>
      </c>
      <c r="G367" s="1">
        <v>46387</v>
      </c>
      <c r="H367" s="1">
        <v>46291</v>
      </c>
      <c r="I367" s="1"/>
      <c r="J367" s="2">
        <v>197783.93</v>
      </c>
      <c r="K367" s="2">
        <v>68353.62</v>
      </c>
      <c r="L367" s="2">
        <v>423894.89</v>
      </c>
      <c r="M367">
        <v>1395</v>
      </c>
      <c r="N367">
        <v>557</v>
      </c>
      <c r="O367" t="s">
        <v>34</v>
      </c>
      <c r="P367" s="2">
        <f>Tabela1[[#This Row],[orcamento_aprovado]]-Tabela1[[#This Row],[custo_real_acumulado]]</f>
        <v>129430.31</v>
      </c>
      <c r="Q367" t="str">
        <f>IF(Tabela1[[#This Row],[data_fim_real]]="","",Tabela1[[#This Row],[data_fim_real]]-Tabela1[[#This Row],[data_inicio_real]])</f>
        <v/>
      </c>
    </row>
    <row r="368" spans="1:17" ht="16.5" x14ac:dyDescent="0.5">
      <c r="A368" t="s">
        <v>957</v>
      </c>
      <c r="B368" t="s">
        <v>958</v>
      </c>
      <c r="C368" t="s">
        <v>503</v>
      </c>
      <c r="D368" t="s">
        <v>25</v>
      </c>
      <c r="E368" t="s">
        <v>42</v>
      </c>
      <c r="F368" s="1">
        <v>46232</v>
      </c>
      <c r="G368" s="1">
        <v>46292</v>
      </c>
      <c r="H368" s="1">
        <v>46247</v>
      </c>
      <c r="I368" s="1"/>
      <c r="J368" s="2">
        <v>113233.53</v>
      </c>
      <c r="K368" s="2">
        <v>74381.429999999993</v>
      </c>
      <c r="L368" s="2">
        <v>215162.74</v>
      </c>
      <c r="M368">
        <v>1330</v>
      </c>
      <c r="N368">
        <v>1129</v>
      </c>
      <c r="O368" t="s">
        <v>21</v>
      </c>
      <c r="P368" s="2">
        <f>Tabela1[[#This Row],[orcamento_aprovado]]-Tabela1[[#This Row],[custo_real_acumulado]]</f>
        <v>38852.100000000006</v>
      </c>
      <c r="Q368" t="str">
        <f>IF(Tabela1[[#This Row],[data_fim_real]]="","",Tabela1[[#This Row],[data_fim_real]]-Tabela1[[#This Row],[data_inicio_real]])</f>
        <v/>
      </c>
    </row>
    <row r="369" spans="1:17" ht="16.5" x14ac:dyDescent="0.5">
      <c r="A369" t="s">
        <v>959</v>
      </c>
      <c r="B369" t="s">
        <v>960</v>
      </c>
      <c r="C369" t="s">
        <v>756</v>
      </c>
      <c r="D369" t="s">
        <v>33</v>
      </c>
      <c r="E369" t="s">
        <v>19</v>
      </c>
      <c r="F369" s="1">
        <v>46154</v>
      </c>
      <c r="G369" s="1">
        <v>46251</v>
      </c>
      <c r="H369" s="1">
        <v>46149</v>
      </c>
      <c r="I369" s="1"/>
      <c r="J369" s="2">
        <v>62594.97</v>
      </c>
      <c r="K369" s="2">
        <v>22973.119999999999</v>
      </c>
      <c r="L369" s="2">
        <v>66466.070000000007</v>
      </c>
      <c r="M369">
        <v>3586</v>
      </c>
      <c r="N369">
        <v>1100</v>
      </c>
      <c r="O369" t="s">
        <v>26</v>
      </c>
      <c r="P369" s="2">
        <f>Tabela1[[#This Row],[orcamento_aprovado]]-Tabela1[[#This Row],[custo_real_acumulado]]</f>
        <v>39621.850000000006</v>
      </c>
      <c r="Q369" t="str">
        <f>IF(Tabela1[[#This Row],[data_fim_real]]="","",Tabela1[[#This Row],[data_fim_real]]-Tabela1[[#This Row],[data_inicio_real]])</f>
        <v/>
      </c>
    </row>
    <row r="370" spans="1:17" ht="16.5" x14ac:dyDescent="0.5">
      <c r="A370" t="s">
        <v>961</v>
      </c>
      <c r="B370" t="s">
        <v>962</v>
      </c>
      <c r="C370" t="s">
        <v>735</v>
      </c>
      <c r="D370" t="s">
        <v>38</v>
      </c>
      <c r="E370" t="s">
        <v>42</v>
      </c>
      <c r="F370" s="1">
        <v>46320</v>
      </c>
      <c r="G370" s="1">
        <v>46379</v>
      </c>
      <c r="H370" s="1">
        <v>46315</v>
      </c>
      <c r="I370" s="1"/>
      <c r="J370" s="2">
        <v>50000</v>
      </c>
      <c r="K370" s="2">
        <v>29864.97</v>
      </c>
      <c r="L370" s="2">
        <v>52072.66</v>
      </c>
      <c r="M370">
        <v>2101</v>
      </c>
      <c r="N370">
        <v>1156</v>
      </c>
      <c r="O370" t="s">
        <v>34</v>
      </c>
      <c r="P370" s="2">
        <f>Tabela1[[#This Row],[orcamento_aprovado]]-Tabela1[[#This Row],[custo_real_acumulado]]</f>
        <v>20135.03</v>
      </c>
      <c r="Q370" t="str">
        <f>IF(Tabela1[[#This Row],[data_fim_real]]="","",Tabela1[[#This Row],[data_fim_real]]-Tabela1[[#This Row],[data_inicio_real]])</f>
        <v/>
      </c>
    </row>
    <row r="371" spans="1:17" ht="16.5" x14ac:dyDescent="0.5">
      <c r="A371" t="s">
        <v>963</v>
      </c>
      <c r="B371" t="s">
        <v>964</v>
      </c>
      <c r="C371" t="s">
        <v>419</v>
      </c>
      <c r="D371" t="s">
        <v>142</v>
      </c>
      <c r="E371" t="s">
        <v>43</v>
      </c>
      <c r="F371" s="1">
        <v>46167</v>
      </c>
      <c r="G371" s="1">
        <v>46277</v>
      </c>
      <c r="H371" s="1">
        <v>46170</v>
      </c>
      <c r="I371" s="1"/>
      <c r="J371" s="2">
        <v>197243.83</v>
      </c>
      <c r="K371" s="2">
        <v>68968.210000000006</v>
      </c>
      <c r="L371" s="2">
        <v>358017.09</v>
      </c>
      <c r="M371">
        <v>4795</v>
      </c>
      <c r="N371">
        <v>1635</v>
      </c>
      <c r="O371" t="s">
        <v>21</v>
      </c>
      <c r="P371" s="2">
        <f>Tabela1[[#This Row],[orcamento_aprovado]]-Tabela1[[#This Row],[custo_real_acumulado]]</f>
        <v>128275.61999999998</v>
      </c>
      <c r="Q371" t="str">
        <f>IF(Tabela1[[#This Row],[data_fim_real]]="","",Tabela1[[#This Row],[data_fim_real]]-Tabela1[[#This Row],[data_inicio_real]])</f>
        <v/>
      </c>
    </row>
    <row r="372" spans="1:17" ht="16.5" x14ac:dyDescent="0.5">
      <c r="A372" t="s">
        <v>965</v>
      </c>
      <c r="B372" t="s">
        <v>966</v>
      </c>
      <c r="C372" t="s">
        <v>543</v>
      </c>
      <c r="D372" t="s">
        <v>58</v>
      </c>
      <c r="E372" t="s">
        <v>20</v>
      </c>
      <c r="F372" s="1">
        <v>46262</v>
      </c>
      <c r="G372" s="1">
        <v>46276</v>
      </c>
      <c r="H372" s="1">
        <v>46261</v>
      </c>
      <c r="I372" s="1"/>
      <c r="J372" s="2">
        <v>98964.67</v>
      </c>
      <c r="K372" s="2">
        <v>83619.86</v>
      </c>
      <c r="L372" s="2">
        <v>86675.73</v>
      </c>
      <c r="M372">
        <v>151</v>
      </c>
      <c r="N372">
        <v>117</v>
      </c>
      <c r="O372" t="s">
        <v>26</v>
      </c>
      <c r="P372" s="2">
        <f>Tabela1[[#This Row],[orcamento_aprovado]]-Tabela1[[#This Row],[custo_real_acumulado]]</f>
        <v>15344.809999999998</v>
      </c>
      <c r="Q372" t="str">
        <f>IF(Tabela1[[#This Row],[data_fim_real]]="","",Tabela1[[#This Row],[data_fim_real]]-Tabela1[[#This Row],[data_inicio_real]])</f>
        <v/>
      </c>
    </row>
    <row r="373" spans="1:17" ht="16.5" x14ac:dyDescent="0.5">
      <c r="A373" t="s">
        <v>967</v>
      </c>
      <c r="B373" t="s">
        <v>968</v>
      </c>
      <c r="C373" t="s">
        <v>765</v>
      </c>
      <c r="D373" t="s">
        <v>33</v>
      </c>
      <c r="E373" t="s">
        <v>20</v>
      </c>
      <c r="F373" s="1">
        <v>46162</v>
      </c>
      <c r="G373" s="1">
        <v>46264</v>
      </c>
      <c r="H373" s="1">
        <v>46169</v>
      </c>
      <c r="I373" s="1">
        <v>46268</v>
      </c>
      <c r="J373" s="2">
        <v>335421.49</v>
      </c>
      <c r="K373" s="2">
        <v>380851.96</v>
      </c>
      <c r="L373" s="2">
        <v>232873.7</v>
      </c>
      <c r="M373">
        <v>3277</v>
      </c>
      <c r="N373">
        <v>3041</v>
      </c>
      <c r="O373" t="s">
        <v>34</v>
      </c>
      <c r="P373" s="2">
        <f>Tabela1[[#This Row],[orcamento_aprovado]]-Tabela1[[#This Row],[custo_real_acumulado]]</f>
        <v>-45430.47000000003</v>
      </c>
      <c r="Q373">
        <f>IF(Tabela1[[#This Row],[data_fim_real]]="","",Tabela1[[#This Row],[data_fim_real]]-Tabela1[[#This Row],[data_inicio_real]])</f>
        <v>99</v>
      </c>
    </row>
    <row r="374" spans="1:17" ht="16.5" x14ac:dyDescent="0.5">
      <c r="A374" t="s">
        <v>969</v>
      </c>
      <c r="B374" t="s">
        <v>970</v>
      </c>
      <c r="C374" t="s">
        <v>971</v>
      </c>
      <c r="D374" t="s">
        <v>33</v>
      </c>
      <c r="E374" t="s">
        <v>43</v>
      </c>
      <c r="F374" s="1">
        <v>46077</v>
      </c>
      <c r="G374" s="1">
        <v>46115</v>
      </c>
      <c r="H374" s="1">
        <v>46074</v>
      </c>
      <c r="I374" s="1"/>
      <c r="J374" s="2">
        <v>50000</v>
      </c>
      <c r="K374" s="2">
        <v>28497.65</v>
      </c>
      <c r="L374" s="2">
        <v>61100.34</v>
      </c>
      <c r="M374">
        <v>1498</v>
      </c>
      <c r="N374">
        <v>693</v>
      </c>
      <c r="O374" t="s">
        <v>21</v>
      </c>
      <c r="P374" s="2">
        <f>Tabela1[[#This Row],[orcamento_aprovado]]-Tabela1[[#This Row],[custo_real_acumulado]]</f>
        <v>21502.35</v>
      </c>
      <c r="Q374" t="str">
        <f>IF(Tabela1[[#This Row],[data_fim_real]]="","",Tabela1[[#This Row],[data_fim_real]]-Tabela1[[#This Row],[data_inicio_real]])</f>
        <v/>
      </c>
    </row>
    <row r="375" spans="1:17" ht="16.5" x14ac:dyDescent="0.5">
      <c r="A375" t="s">
        <v>972</v>
      </c>
      <c r="B375" t="s">
        <v>973</v>
      </c>
      <c r="C375" t="s">
        <v>974</v>
      </c>
      <c r="D375" t="s">
        <v>142</v>
      </c>
      <c r="E375" t="s">
        <v>43</v>
      </c>
      <c r="F375" s="1">
        <v>46131</v>
      </c>
      <c r="G375" s="1">
        <v>46145</v>
      </c>
      <c r="H375" s="1">
        <v>46154</v>
      </c>
      <c r="I375" s="1"/>
      <c r="J375" s="2">
        <v>50000</v>
      </c>
      <c r="K375" s="2">
        <v>28047.49</v>
      </c>
      <c r="L375" s="2">
        <v>76533.41</v>
      </c>
      <c r="M375">
        <v>80</v>
      </c>
      <c r="N375">
        <v>35</v>
      </c>
      <c r="O375" t="s">
        <v>26</v>
      </c>
      <c r="P375" s="2">
        <f>Tabela1[[#This Row],[orcamento_aprovado]]-Tabela1[[#This Row],[custo_real_acumulado]]</f>
        <v>21952.51</v>
      </c>
      <c r="Q375" t="str">
        <f>IF(Tabela1[[#This Row],[data_fim_real]]="","",Tabela1[[#This Row],[data_fim_real]]-Tabela1[[#This Row],[data_inicio_real]])</f>
        <v/>
      </c>
    </row>
    <row r="376" spans="1:17" ht="16.5" x14ac:dyDescent="0.5">
      <c r="A376" t="s">
        <v>975</v>
      </c>
      <c r="B376" t="s">
        <v>976</v>
      </c>
      <c r="C376" t="s">
        <v>121</v>
      </c>
      <c r="D376" t="s">
        <v>18</v>
      </c>
      <c r="E376" t="s">
        <v>19</v>
      </c>
      <c r="F376" s="1">
        <v>46357</v>
      </c>
      <c r="G376" s="1">
        <v>46387</v>
      </c>
      <c r="H376" s="1">
        <v>46358</v>
      </c>
      <c r="I376" s="1"/>
      <c r="J376" s="2">
        <v>58343.43</v>
      </c>
      <c r="K376" s="2">
        <v>25864.48</v>
      </c>
      <c r="L376" s="2">
        <v>73894.37</v>
      </c>
      <c r="M376">
        <v>195</v>
      </c>
      <c r="N376">
        <v>116</v>
      </c>
      <c r="O376" t="s">
        <v>34</v>
      </c>
      <c r="P376" s="2">
        <f>Tabela1[[#This Row],[orcamento_aprovado]]-Tabela1[[#This Row],[custo_real_acumulado]]</f>
        <v>32478.95</v>
      </c>
      <c r="Q376" t="str">
        <f>IF(Tabela1[[#This Row],[data_fim_real]]="","",Tabela1[[#This Row],[data_fim_real]]-Tabela1[[#This Row],[data_inicio_real]])</f>
        <v/>
      </c>
    </row>
    <row r="377" spans="1:17" ht="16.5" x14ac:dyDescent="0.5">
      <c r="A377" t="s">
        <v>977</v>
      </c>
      <c r="B377" t="s">
        <v>978</v>
      </c>
      <c r="C377" t="s">
        <v>905</v>
      </c>
      <c r="D377" t="s">
        <v>58</v>
      </c>
      <c r="E377" t="s">
        <v>43</v>
      </c>
      <c r="F377" s="1">
        <v>46069</v>
      </c>
      <c r="G377" s="1">
        <v>46132</v>
      </c>
      <c r="H377" s="1">
        <v>46082</v>
      </c>
      <c r="I377" s="1"/>
      <c r="J377" s="2">
        <v>54864.04</v>
      </c>
      <c r="K377" s="2">
        <v>35268.94</v>
      </c>
      <c r="L377" s="2">
        <v>78614.210000000006</v>
      </c>
      <c r="M377">
        <v>3065</v>
      </c>
      <c r="N377">
        <v>2087</v>
      </c>
      <c r="O377" t="s">
        <v>21</v>
      </c>
      <c r="P377" s="2">
        <f>Tabela1[[#This Row],[orcamento_aprovado]]-Tabela1[[#This Row],[custo_real_acumulado]]</f>
        <v>19595.099999999999</v>
      </c>
      <c r="Q377" t="str">
        <f>IF(Tabela1[[#This Row],[data_fim_real]]="","",Tabela1[[#This Row],[data_fim_real]]-Tabela1[[#This Row],[data_inicio_real]])</f>
        <v/>
      </c>
    </row>
    <row r="378" spans="1:17" ht="16.5" x14ac:dyDescent="0.5">
      <c r="A378" t="s">
        <v>979</v>
      </c>
      <c r="B378" t="s">
        <v>980</v>
      </c>
      <c r="C378" t="s">
        <v>691</v>
      </c>
      <c r="D378" t="s">
        <v>50</v>
      </c>
      <c r="E378" t="s">
        <v>43</v>
      </c>
      <c r="F378" s="1">
        <v>46099</v>
      </c>
      <c r="G378" s="1">
        <v>46178</v>
      </c>
      <c r="H378" s="1">
        <v>46108</v>
      </c>
      <c r="I378" s="1">
        <v>46192</v>
      </c>
      <c r="J378" s="2">
        <v>67552.149999999994</v>
      </c>
      <c r="K378" s="2">
        <v>70003.63</v>
      </c>
      <c r="L378" s="2">
        <v>51100.87</v>
      </c>
      <c r="M378">
        <v>2760</v>
      </c>
      <c r="N378">
        <v>2941</v>
      </c>
      <c r="O378" t="s">
        <v>26</v>
      </c>
      <c r="P378" s="2">
        <f>Tabela1[[#This Row],[orcamento_aprovado]]-Tabela1[[#This Row],[custo_real_acumulado]]</f>
        <v>-2451.4800000000105</v>
      </c>
      <c r="Q378">
        <f>IF(Tabela1[[#This Row],[data_fim_real]]="","",Tabela1[[#This Row],[data_fim_real]]-Tabela1[[#This Row],[data_inicio_real]])</f>
        <v>84</v>
      </c>
    </row>
    <row r="379" spans="1:17" ht="16.5" x14ac:dyDescent="0.5">
      <c r="A379" t="s">
        <v>981</v>
      </c>
      <c r="B379" t="s">
        <v>982</v>
      </c>
      <c r="C379" t="s">
        <v>301</v>
      </c>
      <c r="D379" t="s">
        <v>38</v>
      </c>
      <c r="E379" t="s">
        <v>43</v>
      </c>
      <c r="F379" s="1">
        <v>46322</v>
      </c>
      <c r="G379" s="1">
        <v>46352</v>
      </c>
      <c r="H379" s="1">
        <v>46330</v>
      </c>
      <c r="I379" s="1">
        <v>46363</v>
      </c>
      <c r="J379" s="2">
        <v>118894.2</v>
      </c>
      <c r="K379" s="2">
        <v>126268.13</v>
      </c>
      <c r="L379" s="2">
        <v>41957.53</v>
      </c>
      <c r="M379">
        <v>1202</v>
      </c>
      <c r="N379">
        <v>1233</v>
      </c>
      <c r="O379" t="s">
        <v>34</v>
      </c>
      <c r="P379" s="2">
        <f>Tabela1[[#This Row],[orcamento_aprovado]]-Tabela1[[#This Row],[custo_real_acumulado]]</f>
        <v>-7373.9300000000076</v>
      </c>
      <c r="Q379">
        <f>IF(Tabela1[[#This Row],[data_fim_real]]="","",Tabela1[[#This Row],[data_fim_real]]-Tabela1[[#This Row],[data_inicio_real]])</f>
        <v>33</v>
      </c>
    </row>
    <row r="380" spans="1:17" ht="16.5" x14ac:dyDescent="0.5">
      <c r="A380" t="s">
        <v>983</v>
      </c>
      <c r="B380" t="s">
        <v>984</v>
      </c>
      <c r="C380" t="s">
        <v>642</v>
      </c>
      <c r="D380" t="s">
        <v>25</v>
      </c>
      <c r="E380" t="s">
        <v>19</v>
      </c>
      <c r="F380" s="1">
        <v>46131</v>
      </c>
      <c r="G380" s="1">
        <v>46219</v>
      </c>
      <c r="H380" s="1">
        <v>46132</v>
      </c>
      <c r="I380" s="1">
        <v>46210</v>
      </c>
      <c r="J380" s="2">
        <v>191462.46</v>
      </c>
      <c r="K380" s="2">
        <v>238611.45</v>
      </c>
      <c r="L380" s="2">
        <v>158529.60000000001</v>
      </c>
      <c r="M380">
        <v>2464</v>
      </c>
      <c r="N380">
        <v>2832</v>
      </c>
      <c r="O380" t="s">
        <v>21</v>
      </c>
      <c r="P380" s="2">
        <f>Tabela1[[#This Row],[orcamento_aprovado]]-Tabela1[[#This Row],[custo_real_acumulado]]</f>
        <v>-47148.99000000002</v>
      </c>
      <c r="Q380">
        <f>IF(Tabela1[[#This Row],[data_fim_real]]="","",Tabela1[[#This Row],[data_fim_real]]-Tabela1[[#This Row],[data_inicio_real]])</f>
        <v>78</v>
      </c>
    </row>
    <row r="381" spans="1:17" ht="16.5" x14ac:dyDescent="0.5">
      <c r="A381" t="s">
        <v>985</v>
      </c>
      <c r="B381" t="s">
        <v>986</v>
      </c>
      <c r="C381" t="s">
        <v>987</v>
      </c>
      <c r="D381" t="s">
        <v>71</v>
      </c>
      <c r="E381" t="s">
        <v>43</v>
      </c>
      <c r="F381" s="1">
        <v>46368</v>
      </c>
      <c r="G381" s="1">
        <v>46387</v>
      </c>
      <c r="H381" s="1">
        <v>46359</v>
      </c>
      <c r="I381" s="1"/>
      <c r="J381" s="2">
        <v>174116.87</v>
      </c>
      <c r="K381" s="2">
        <v>39345.06</v>
      </c>
      <c r="L381" s="2">
        <v>335607.96</v>
      </c>
      <c r="M381">
        <v>818</v>
      </c>
      <c r="N381">
        <v>213</v>
      </c>
      <c r="O381" t="s">
        <v>26</v>
      </c>
      <c r="P381" s="2">
        <f>Tabela1[[#This Row],[orcamento_aprovado]]-Tabela1[[#This Row],[custo_real_acumulado]]</f>
        <v>134771.81</v>
      </c>
      <c r="Q381" t="str">
        <f>IF(Tabela1[[#This Row],[data_fim_real]]="","",Tabela1[[#This Row],[data_fim_real]]-Tabela1[[#This Row],[data_inicio_real]])</f>
        <v/>
      </c>
    </row>
    <row r="382" spans="1:17" ht="16.5" x14ac:dyDescent="0.5">
      <c r="A382" t="s">
        <v>988</v>
      </c>
      <c r="B382" t="s">
        <v>989</v>
      </c>
      <c r="C382" t="s">
        <v>24</v>
      </c>
      <c r="D382" t="s">
        <v>58</v>
      </c>
      <c r="E382" t="s">
        <v>19</v>
      </c>
      <c r="F382" s="1">
        <v>46260</v>
      </c>
      <c r="G382" s="1">
        <v>46327</v>
      </c>
      <c r="H382" s="1">
        <v>46262</v>
      </c>
      <c r="I382" s="1"/>
      <c r="J382" s="2">
        <v>50000</v>
      </c>
      <c r="K382" s="2">
        <v>35027.24</v>
      </c>
      <c r="L382" s="2">
        <v>40487.279999999999</v>
      </c>
      <c r="M382">
        <v>1551</v>
      </c>
      <c r="N382">
        <v>715</v>
      </c>
      <c r="O382" t="s">
        <v>34</v>
      </c>
      <c r="P382" s="2">
        <f>Tabela1[[#This Row],[orcamento_aprovado]]-Tabela1[[#This Row],[custo_real_acumulado]]</f>
        <v>14972.760000000002</v>
      </c>
      <c r="Q382" t="str">
        <f>IF(Tabela1[[#This Row],[data_fim_real]]="","",Tabela1[[#This Row],[data_fim_real]]-Tabela1[[#This Row],[data_inicio_real]])</f>
        <v/>
      </c>
    </row>
    <row r="383" spans="1:17" ht="16.5" x14ac:dyDescent="0.5">
      <c r="A383" t="s">
        <v>990</v>
      </c>
      <c r="B383" t="s">
        <v>991</v>
      </c>
      <c r="C383" t="s">
        <v>642</v>
      </c>
      <c r="D383" t="s">
        <v>58</v>
      </c>
      <c r="E383" t="s">
        <v>43</v>
      </c>
      <c r="F383" s="1">
        <v>46075</v>
      </c>
      <c r="G383" s="1">
        <v>46112</v>
      </c>
      <c r="H383" s="1">
        <v>46087</v>
      </c>
      <c r="I383" s="1"/>
      <c r="J383" s="2">
        <v>97381.85</v>
      </c>
      <c r="K383" s="2">
        <v>80989.42</v>
      </c>
      <c r="L383" s="2">
        <v>184838.81</v>
      </c>
      <c r="M383">
        <v>1100</v>
      </c>
      <c r="N383">
        <v>853</v>
      </c>
      <c r="O383" t="s">
        <v>21</v>
      </c>
      <c r="P383" s="2">
        <f>Tabela1[[#This Row],[orcamento_aprovado]]-Tabela1[[#This Row],[custo_real_acumulado]]</f>
        <v>16392.430000000008</v>
      </c>
      <c r="Q383" t="str">
        <f>IF(Tabela1[[#This Row],[data_fim_real]]="","",Tabela1[[#This Row],[data_fim_real]]-Tabela1[[#This Row],[data_inicio_real]])</f>
        <v/>
      </c>
    </row>
    <row r="384" spans="1:17" ht="16.5" x14ac:dyDescent="0.5">
      <c r="A384" t="s">
        <v>992</v>
      </c>
      <c r="B384" t="s">
        <v>993</v>
      </c>
      <c r="C384" t="s">
        <v>258</v>
      </c>
      <c r="D384" t="s">
        <v>25</v>
      </c>
      <c r="E384" t="s">
        <v>20</v>
      </c>
      <c r="F384" s="1">
        <v>46306</v>
      </c>
      <c r="G384" s="1">
        <v>46338</v>
      </c>
      <c r="H384" s="1"/>
      <c r="I384" s="1"/>
      <c r="J384" s="2">
        <v>50000</v>
      </c>
      <c r="K384" s="2">
        <v>0</v>
      </c>
      <c r="L384" s="2">
        <v>105135.1</v>
      </c>
      <c r="M384">
        <v>1422</v>
      </c>
      <c r="N384">
        <v>0</v>
      </c>
      <c r="O384" t="s">
        <v>26</v>
      </c>
      <c r="P384" s="2">
        <f>Tabela1[[#This Row],[orcamento_aprovado]]-Tabela1[[#This Row],[custo_real_acumulado]]</f>
        <v>50000</v>
      </c>
      <c r="Q384" t="str">
        <f>IF(Tabela1[[#This Row],[data_fim_real]]="","",Tabela1[[#This Row],[data_fim_real]]-Tabela1[[#This Row],[data_inicio_real]])</f>
        <v/>
      </c>
    </row>
    <row r="385" spans="1:17" ht="16.5" x14ac:dyDescent="0.5">
      <c r="A385" t="s">
        <v>994</v>
      </c>
      <c r="B385" t="s">
        <v>995</v>
      </c>
      <c r="C385" t="s">
        <v>996</v>
      </c>
      <c r="D385" t="s">
        <v>71</v>
      </c>
      <c r="E385" t="s">
        <v>43</v>
      </c>
      <c r="F385" s="1">
        <v>46331</v>
      </c>
      <c r="G385" s="1">
        <v>46387</v>
      </c>
      <c r="H385" s="1">
        <v>46334</v>
      </c>
      <c r="I385" s="1"/>
      <c r="J385" s="2">
        <v>104855.05</v>
      </c>
      <c r="K385" s="2">
        <v>66113.67</v>
      </c>
      <c r="L385" s="2">
        <v>127581</v>
      </c>
      <c r="M385">
        <v>1479</v>
      </c>
      <c r="N385">
        <v>1124</v>
      </c>
      <c r="O385" t="s">
        <v>34</v>
      </c>
      <c r="P385" s="2">
        <f>Tabela1[[#This Row],[orcamento_aprovado]]-Tabela1[[#This Row],[custo_real_acumulado]]</f>
        <v>38741.380000000005</v>
      </c>
      <c r="Q385" t="str">
        <f>IF(Tabela1[[#This Row],[data_fim_real]]="","",Tabela1[[#This Row],[data_fim_real]]-Tabela1[[#This Row],[data_inicio_real]])</f>
        <v/>
      </c>
    </row>
    <row r="386" spans="1:17" ht="16.5" x14ac:dyDescent="0.5">
      <c r="A386" t="s">
        <v>997</v>
      </c>
      <c r="B386" t="s">
        <v>998</v>
      </c>
      <c r="C386" t="s">
        <v>145</v>
      </c>
      <c r="D386" t="s">
        <v>58</v>
      </c>
      <c r="E386" t="s">
        <v>19</v>
      </c>
      <c r="F386" s="1">
        <v>46103</v>
      </c>
      <c r="G386" s="1">
        <v>46196</v>
      </c>
      <c r="H386" s="1">
        <v>46091</v>
      </c>
      <c r="I386" s="1"/>
      <c r="J386" s="2">
        <v>50000</v>
      </c>
      <c r="K386" s="2">
        <v>43274.3</v>
      </c>
      <c r="L386" s="2">
        <v>50324.49</v>
      </c>
      <c r="M386">
        <v>1537</v>
      </c>
      <c r="N386">
        <v>1208</v>
      </c>
      <c r="O386" t="s">
        <v>21</v>
      </c>
      <c r="P386" s="2">
        <f>Tabela1[[#This Row],[orcamento_aprovado]]-Tabela1[[#This Row],[custo_real_acumulado]]</f>
        <v>6725.6999999999971</v>
      </c>
      <c r="Q386" t="str">
        <f>IF(Tabela1[[#This Row],[data_fim_real]]="","",Tabela1[[#This Row],[data_fim_real]]-Tabela1[[#This Row],[data_inicio_real]])</f>
        <v/>
      </c>
    </row>
    <row r="387" spans="1:17" ht="16.5" x14ac:dyDescent="0.5">
      <c r="A387" t="s">
        <v>999</v>
      </c>
      <c r="B387" t="s">
        <v>1000</v>
      </c>
      <c r="C387" t="s">
        <v>409</v>
      </c>
      <c r="D387" t="s">
        <v>54</v>
      </c>
      <c r="E387" t="s">
        <v>19</v>
      </c>
      <c r="F387" s="1">
        <v>46243</v>
      </c>
      <c r="G387" s="1">
        <v>46317</v>
      </c>
      <c r="H387" s="1"/>
      <c r="I387" s="1"/>
      <c r="J387" s="2">
        <v>111265.93</v>
      </c>
      <c r="K387" s="2">
        <v>0</v>
      </c>
      <c r="L387" s="2">
        <v>177806.69</v>
      </c>
      <c r="M387">
        <v>1657</v>
      </c>
      <c r="N387">
        <v>0</v>
      </c>
      <c r="O387" t="s">
        <v>26</v>
      </c>
      <c r="P387" s="2">
        <f>Tabela1[[#This Row],[orcamento_aprovado]]-Tabela1[[#This Row],[custo_real_acumulado]]</f>
        <v>111265.93</v>
      </c>
      <c r="Q387" t="str">
        <f>IF(Tabela1[[#This Row],[data_fim_real]]="","",Tabela1[[#This Row],[data_fim_real]]-Tabela1[[#This Row],[data_inicio_real]])</f>
        <v/>
      </c>
    </row>
    <row r="388" spans="1:17" ht="16.5" x14ac:dyDescent="0.5">
      <c r="A388" t="s">
        <v>1001</v>
      </c>
      <c r="B388" t="s">
        <v>1002</v>
      </c>
      <c r="C388" t="s">
        <v>474</v>
      </c>
      <c r="D388" t="s">
        <v>25</v>
      </c>
      <c r="E388" t="s">
        <v>19</v>
      </c>
      <c r="F388" s="1">
        <v>46077</v>
      </c>
      <c r="G388" s="1">
        <v>46202</v>
      </c>
      <c r="H388" s="1">
        <v>46084</v>
      </c>
      <c r="I388" s="1"/>
      <c r="J388" s="2">
        <v>56733.46</v>
      </c>
      <c r="K388" s="2">
        <v>48332.46</v>
      </c>
      <c r="L388" s="2">
        <v>24205.54</v>
      </c>
      <c r="M388">
        <v>5205</v>
      </c>
      <c r="N388">
        <v>4447</v>
      </c>
      <c r="O388" t="s">
        <v>34</v>
      </c>
      <c r="P388" s="2">
        <f>Tabela1[[#This Row],[orcamento_aprovado]]-Tabela1[[#This Row],[custo_real_acumulado]]</f>
        <v>8401</v>
      </c>
      <c r="Q388" t="str">
        <f>IF(Tabela1[[#This Row],[data_fim_real]]="","",Tabela1[[#This Row],[data_fim_real]]-Tabela1[[#This Row],[data_inicio_real]])</f>
        <v/>
      </c>
    </row>
    <row r="389" spans="1:17" ht="16.5" x14ac:dyDescent="0.5">
      <c r="A389" t="s">
        <v>1003</v>
      </c>
      <c r="B389" t="s">
        <v>1004</v>
      </c>
      <c r="C389" t="s">
        <v>1005</v>
      </c>
      <c r="D389" t="s">
        <v>71</v>
      </c>
      <c r="E389" t="s">
        <v>20</v>
      </c>
      <c r="F389" s="1">
        <v>46247</v>
      </c>
      <c r="G389" s="1">
        <v>46363</v>
      </c>
      <c r="H389" s="1">
        <v>46257</v>
      </c>
      <c r="I389" s="1">
        <v>46356</v>
      </c>
      <c r="J389" s="2">
        <v>90970.77</v>
      </c>
      <c r="K389" s="2">
        <v>99411.88</v>
      </c>
      <c r="L389" s="2">
        <v>59872.39</v>
      </c>
      <c r="M389">
        <v>2382</v>
      </c>
      <c r="N389">
        <v>2327</v>
      </c>
      <c r="O389" t="s">
        <v>21</v>
      </c>
      <c r="P389" s="2">
        <f>Tabela1[[#This Row],[orcamento_aprovado]]-Tabela1[[#This Row],[custo_real_acumulado]]</f>
        <v>-8441.11</v>
      </c>
      <c r="Q389">
        <f>IF(Tabela1[[#This Row],[data_fim_real]]="","",Tabela1[[#This Row],[data_fim_real]]-Tabela1[[#This Row],[data_inicio_real]])</f>
        <v>99</v>
      </c>
    </row>
    <row r="390" spans="1:17" ht="16.5" x14ac:dyDescent="0.5">
      <c r="A390" t="s">
        <v>1006</v>
      </c>
      <c r="B390" t="s">
        <v>1007</v>
      </c>
      <c r="C390" t="s">
        <v>862</v>
      </c>
      <c r="D390" t="s">
        <v>58</v>
      </c>
      <c r="E390" t="s">
        <v>19</v>
      </c>
      <c r="F390" s="1">
        <v>46234</v>
      </c>
      <c r="G390" s="1">
        <v>46387</v>
      </c>
      <c r="H390" s="1">
        <v>46239</v>
      </c>
      <c r="I390" s="1"/>
      <c r="J390" s="2">
        <v>91714.39</v>
      </c>
      <c r="K390" s="2">
        <v>4838</v>
      </c>
      <c r="L390" s="2">
        <v>36738.79</v>
      </c>
      <c r="M390">
        <v>2184</v>
      </c>
      <c r="N390">
        <v>118</v>
      </c>
      <c r="O390" t="s">
        <v>26</v>
      </c>
      <c r="P390" s="2">
        <f>Tabela1[[#This Row],[orcamento_aprovado]]-Tabela1[[#This Row],[custo_real_acumulado]]</f>
        <v>86876.39</v>
      </c>
      <c r="Q390" t="str">
        <f>IF(Tabela1[[#This Row],[data_fim_real]]="","",Tabela1[[#This Row],[data_fim_real]]-Tabela1[[#This Row],[data_inicio_real]])</f>
        <v/>
      </c>
    </row>
    <row r="391" spans="1:17" ht="16.5" x14ac:dyDescent="0.5">
      <c r="A391" t="s">
        <v>1008</v>
      </c>
      <c r="B391" t="s">
        <v>1009</v>
      </c>
      <c r="C391" t="s">
        <v>1010</v>
      </c>
      <c r="D391" t="s">
        <v>54</v>
      </c>
      <c r="E391" t="s">
        <v>20</v>
      </c>
      <c r="F391" s="1">
        <v>46317</v>
      </c>
      <c r="G391" s="1">
        <v>46387</v>
      </c>
      <c r="H391" s="1">
        <v>46300</v>
      </c>
      <c r="I391" s="1"/>
      <c r="J391" s="2">
        <v>342162.28</v>
      </c>
      <c r="K391" s="2">
        <v>236228.9</v>
      </c>
      <c r="L391" s="2">
        <v>675561.9</v>
      </c>
      <c r="M391">
        <v>1472</v>
      </c>
      <c r="N391">
        <v>1374</v>
      </c>
      <c r="O391" t="s">
        <v>34</v>
      </c>
      <c r="P391" s="2">
        <f>Tabela1[[#This Row],[orcamento_aprovado]]-Tabela1[[#This Row],[custo_real_acumulado]]</f>
        <v>105933.38000000003</v>
      </c>
      <c r="Q391" t="str">
        <f>IF(Tabela1[[#This Row],[data_fim_real]]="","",Tabela1[[#This Row],[data_fim_real]]-Tabela1[[#This Row],[data_inicio_real]])</f>
        <v/>
      </c>
    </row>
    <row r="392" spans="1:17" ht="16.5" x14ac:dyDescent="0.5">
      <c r="A392" t="s">
        <v>1011</v>
      </c>
      <c r="B392" t="s">
        <v>1012</v>
      </c>
      <c r="C392" t="s">
        <v>659</v>
      </c>
      <c r="D392" t="s">
        <v>25</v>
      </c>
      <c r="E392" t="s">
        <v>19</v>
      </c>
      <c r="F392" s="1">
        <v>46339</v>
      </c>
      <c r="G392" s="1">
        <v>46365</v>
      </c>
      <c r="H392" s="1">
        <v>46344</v>
      </c>
      <c r="I392" s="1"/>
      <c r="J392" s="2">
        <v>51972.639999999999</v>
      </c>
      <c r="K392" s="2">
        <v>17627.41</v>
      </c>
      <c r="L392" s="2">
        <v>93653.440000000002</v>
      </c>
      <c r="M392">
        <v>297</v>
      </c>
      <c r="N392">
        <v>104</v>
      </c>
      <c r="O392" t="s">
        <v>21</v>
      </c>
      <c r="P392" s="2">
        <f>Tabela1[[#This Row],[orcamento_aprovado]]-Tabela1[[#This Row],[custo_real_acumulado]]</f>
        <v>34345.229999999996</v>
      </c>
      <c r="Q392" t="str">
        <f>IF(Tabela1[[#This Row],[data_fim_real]]="","",Tabela1[[#This Row],[data_fim_real]]-Tabela1[[#This Row],[data_inicio_real]])</f>
        <v/>
      </c>
    </row>
    <row r="393" spans="1:17" ht="16.5" x14ac:dyDescent="0.5">
      <c r="A393" t="s">
        <v>1013</v>
      </c>
      <c r="B393" t="s">
        <v>1014</v>
      </c>
      <c r="C393" t="s">
        <v>1015</v>
      </c>
      <c r="D393" t="s">
        <v>54</v>
      </c>
      <c r="E393" t="s">
        <v>20</v>
      </c>
      <c r="F393" s="1">
        <v>46104</v>
      </c>
      <c r="G393" s="1">
        <v>46211</v>
      </c>
      <c r="H393" s="1">
        <v>46108</v>
      </c>
      <c r="I393" s="1"/>
      <c r="J393" s="2">
        <v>663557.52</v>
      </c>
      <c r="K393" s="2">
        <v>489270.4</v>
      </c>
      <c r="L393" s="2">
        <v>858805.26</v>
      </c>
      <c r="M393">
        <v>3280</v>
      </c>
      <c r="N393">
        <v>2684</v>
      </c>
      <c r="O393" t="s">
        <v>26</v>
      </c>
      <c r="P393" s="2">
        <f>Tabela1[[#This Row],[orcamento_aprovado]]-Tabela1[[#This Row],[custo_real_acumulado]]</f>
        <v>174287.12</v>
      </c>
      <c r="Q393" t="str">
        <f>IF(Tabela1[[#This Row],[data_fim_real]]="","",Tabela1[[#This Row],[data_fim_real]]-Tabela1[[#This Row],[data_inicio_real]])</f>
        <v/>
      </c>
    </row>
    <row r="394" spans="1:17" ht="16.5" x14ac:dyDescent="0.5">
      <c r="A394" t="s">
        <v>1016</v>
      </c>
      <c r="B394" t="s">
        <v>1017</v>
      </c>
      <c r="C394" t="s">
        <v>376</v>
      </c>
      <c r="D394" t="s">
        <v>18</v>
      </c>
      <c r="E394" t="s">
        <v>19</v>
      </c>
      <c r="F394" s="1">
        <v>46025</v>
      </c>
      <c r="G394" s="1">
        <v>46113</v>
      </c>
      <c r="H394" s="1">
        <v>46030</v>
      </c>
      <c r="I394" s="1"/>
      <c r="J394" s="2">
        <v>65439.38</v>
      </c>
      <c r="K394" s="2">
        <v>28877.45</v>
      </c>
      <c r="L394" s="2">
        <v>33710.400000000001</v>
      </c>
      <c r="M394">
        <v>2600</v>
      </c>
      <c r="N394">
        <v>1176</v>
      </c>
      <c r="O394" t="s">
        <v>34</v>
      </c>
      <c r="P394" s="2">
        <f>Tabela1[[#This Row],[orcamento_aprovado]]-Tabela1[[#This Row],[custo_real_acumulado]]</f>
        <v>36561.929999999993</v>
      </c>
      <c r="Q394" t="str">
        <f>IF(Tabela1[[#This Row],[data_fim_real]]="","",Tabela1[[#This Row],[data_fim_real]]-Tabela1[[#This Row],[data_inicio_real]])</f>
        <v/>
      </c>
    </row>
    <row r="395" spans="1:17" ht="16.5" x14ac:dyDescent="0.5">
      <c r="A395" t="s">
        <v>1018</v>
      </c>
      <c r="B395" t="s">
        <v>1019</v>
      </c>
      <c r="C395" t="s">
        <v>37</v>
      </c>
      <c r="D395" t="s">
        <v>33</v>
      </c>
      <c r="E395" t="s">
        <v>19</v>
      </c>
      <c r="F395" s="1">
        <v>46233</v>
      </c>
      <c r="G395" s="1">
        <v>46322</v>
      </c>
      <c r="H395" s="1"/>
      <c r="I395" s="1"/>
      <c r="J395" s="2">
        <v>419193.04</v>
      </c>
      <c r="K395" s="2">
        <v>0</v>
      </c>
      <c r="L395" s="2">
        <v>235986.99</v>
      </c>
      <c r="M395">
        <v>1962</v>
      </c>
      <c r="N395">
        <v>0</v>
      </c>
      <c r="O395" t="s">
        <v>21</v>
      </c>
      <c r="P395" s="2">
        <f>Tabela1[[#This Row],[orcamento_aprovado]]-Tabela1[[#This Row],[custo_real_acumulado]]</f>
        <v>419193.04</v>
      </c>
      <c r="Q395" t="str">
        <f>IF(Tabela1[[#This Row],[data_fim_real]]="","",Tabela1[[#This Row],[data_fim_real]]-Tabela1[[#This Row],[data_inicio_real]])</f>
        <v/>
      </c>
    </row>
    <row r="396" spans="1:17" ht="16.5" x14ac:dyDescent="0.5">
      <c r="A396" t="s">
        <v>1020</v>
      </c>
      <c r="B396" t="s">
        <v>1021</v>
      </c>
      <c r="C396" t="s">
        <v>1022</v>
      </c>
      <c r="D396" t="s">
        <v>78</v>
      </c>
      <c r="E396" t="s">
        <v>43</v>
      </c>
      <c r="F396" s="1">
        <v>46236</v>
      </c>
      <c r="G396" s="1">
        <v>46340</v>
      </c>
      <c r="H396" s="1">
        <v>46254</v>
      </c>
      <c r="I396" s="1"/>
      <c r="J396" s="2">
        <v>96625.600000000006</v>
      </c>
      <c r="K396" s="2">
        <v>61858.400000000001</v>
      </c>
      <c r="L396" s="2">
        <v>104368.94</v>
      </c>
      <c r="M396">
        <v>1952</v>
      </c>
      <c r="N396">
        <v>932</v>
      </c>
      <c r="O396" t="s">
        <v>26</v>
      </c>
      <c r="P396" s="2">
        <f>Tabela1[[#This Row],[orcamento_aprovado]]-Tabela1[[#This Row],[custo_real_acumulado]]</f>
        <v>34767.200000000004</v>
      </c>
      <c r="Q396" t="str">
        <f>IF(Tabela1[[#This Row],[data_fim_real]]="","",Tabela1[[#This Row],[data_fim_real]]-Tabela1[[#This Row],[data_inicio_real]])</f>
        <v/>
      </c>
    </row>
    <row r="397" spans="1:17" ht="16.5" x14ac:dyDescent="0.5">
      <c r="A397" t="s">
        <v>1023</v>
      </c>
      <c r="B397" t="s">
        <v>1024</v>
      </c>
      <c r="C397" t="s">
        <v>697</v>
      </c>
      <c r="D397" t="s">
        <v>54</v>
      </c>
      <c r="E397" t="s">
        <v>42</v>
      </c>
      <c r="F397" s="1">
        <v>46212</v>
      </c>
      <c r="G397" s="1">
        <v>46263</v>
      </c>
      <c r="H397" s="1">
        <v>46207</v>
      </c>
      <c r="I397" s="1">
        <v>46256</v>
      </c>
      <c r="J397" s="2">
        <v>161069.96</v>
      </c>
      <c r="K397" s="2">
        <v>165377.21</v>
      </c>
      <c r="L397" s="2">
        <v>154428.34</v>
      </c>
      <c r="M397">
        <v>1506</v>
      </c>
      <c r="N397">
        <v>1353</v>
      </c>
      <c r="O397" t="s">
        <v>34</v>
      </c>
      <c r="P397" s="2">
        <f>Tabela1[[#This Row],[orcamento_aprovado]]-Tabela1[[#This Row],[custo_real_acumulado]]</f>
        <v>-4307.25</v>
      </c>
      <c r="Q397">
        <f>IF(Tabela1[[#This Row],[data_fim_real]]="","",Tabela1[[#This Row],[data_fim_real]]-Tabela1[[#This Row],[data_inicio_real]])</f>
        <v>49</v>
      </c>
    </row>
    <row r="398" spans="1:17" ht="16.5" x14ac:dyDescent="0.5">
      <c r="A398" t="s">
        <v>1025</v>
      </c>
      <c r="B398" t="s">
        <v>1026</v>
      </c>
      <c r="C398" t="s">
        <v>265</v>
      </c>
      <c r="D398" t="s">
        <v>25</v>
      </c>
      <c r="E398" t="s">
        <v>20</v>
      </c>
      <c r="F398" s="1">
        <v>46273</v>
      </c>
      <c r="G398" s="1">
        <v>46317</v>
      </c>
      <c r="H398" s="1">
        <v>46279</v>
      </c>
      <c r="I398" s="1">
        <v>46349</v>
      </c>
      <c r="J398" s="2">
        <v>131766.79</v>
      </c>
      <c r="K398" s="2">
        <v>139808.76</v>
      </c>
      <c r="L398" s="2">
        <v>203622.96</v>
      </c>
      <c r="M398">
        <v>545</v>
      </c>
      <c r="N398">
        <v>452</v>
      </c>
      <c r="O398" t="s">
        <v>21</v>
      </c>
      <c r="P398" s="2">
        <f>Tabela1[[#This Row],[orcamento_aprovado]]-Tabela1[[#This Row],[custo_real_acumulado]]</f>
        <v>-8041.9700000000012</v>
      </c>
      <c r="Q398">
        <f>IF(Tabela1[[#This Row],[data_fim_real]]="","",Tabela1[[#This Row],[data_fim_real]]-Tabela1[[#This Row],[data_inicio_real]])</f>
        <v>70</v>
      </c>
    </row>
    <row r="399" spans="1:17" ht="16.5" x14ac:dyDescent="0.5">
      <c r="A399" t="s">
        <v>1027</v>
      </c>
      <c r="B399" t="s">
        <v>1028</v>
      </c>
      <c r="C399" t="s">
        <v>273</v>
      </c>
      <c r="D399" t="s">
        <v>25</v>
      </c>
      <c r="E399" t="s">
        <v>19</v>
      </c>
      <c r="F399" s="1">
        <v>46252</v>
      </c>
      <c r="G399" s="1">
        <v>46282</v>
      </c>
      <c r="H399" s="1">
        <v>46249</v>
      </c>
      <c r="I399" s="1"/>
      <c r="J399" s="2">
        <v>224474.12</v>
      </c>
      <c r="K399" s="2">
        <v>171290.15</v>
      </c>
      <c r="L399" s="2">
        <v>349626.21</v>
      </c>
      <c r="M399">
        <v>1309</v>
      </c>
      <c r="N399">
        <v>856</v>
      </c>
      <c r="O399" t="s">
        <v>26</v>
      </c>
      <c r="P399" s="2">
        <f>Tabela1[[#This Row],[orcamento_aprovado]]-Tabela1[[#This Row],[custo_real_acumulado]]</f>
        <v>53183.97</v>
      </c>
      <c r="Q399" t="str">
        <f>IF(Tabela1[[#This Row],[data_fim_real]]="","",Tabela1[[#This Row],[data_fim_real]]-Tabela1[[#This Row],[data_inicio_real]])</f>
        <v/>
      </c>
    </row>
    <row r="400" spans="1:17" ht="16.5" x14ac:dyDescent="0.5">
      <c r="A400" t="s">
        <v>1029</v>
      </c>
      <c r="B400" t="s">
        <v>1030</v>
      </c>
      <c r="C400" t="s">
        <v>129</v>
      </c>
      <c r="D400" t="s">
        <v>18</v>
      </c>
      <c r="E400" t="s">
        <v>19</v>
      </c>
      <c r="F400" s="1">
        <v>46310</v>
      </c>
      <c r="G400" s="1">
        <v>46387</v>
      </c>
      <c r="H400" s="1">
        <v>46326</v>
      </c>
      <c r="I400" s="1"/>
      <c r="J400" s="2">
        <v>105204.23</v>
      </c>
      <c r="K400" s="2">
        <v>46681.2</v>
      </c>
      <c r="L400" s="2">
        <v>77951</v>
      </c>
      <c r="M400">
        <v>1854</v>
      </c>
      <c r="N400">
        <v>631</v>
      </c>
      <c r="O400" t="s">
        <v>34</v>
      </c>
      <c r="P400" s="2">
        <f>Tabela1[[#This Row],[orcamento_aprovado]]-Tabela1[[#This Row],[custo_real_acumulado]]</f>
        <v>58523.03</v>
      </c>
      <c r="Q400" t="str">
        <f>IF(Tabela1[[#This Row],[data_fim_real]]="","",Tabela1[[#This Row],[data_fim_real]]-Tabela1[[#This Row],[data_inicio_real]])</f>
        <v/>
      </c>
    </row>
    <row r="401" spans="1:17" ht="16.5" x14ac:dyDescent="0.5">
      <c r="A401" t="s">
        <v>1031</v>
      </c>
      <c r="B401" t="s">
        <v>1032</v>
      </c>
      <c r="C401" t="s">
        <v>694</v>
      </c>
      <c r="D401" t="s">
        <v>50</v>
      </c>
      <c r="E401" t="s">
        <v>42</v>
      </c>
      <c r="F401" s="1">
        <v>46250</v>
      </c>
      <c r="G401" s="1">
        <v>46290</v>
      </c>
      <c r="H401" s="1">
        <v>46250</v>
      </c>
      <c r="I401" s="1"/>
      <c r="J401" s="2">
        <v>51840.34</v>
      </c>
      <c r="K401" s="2">
        <v>43400.84</v>
      </c>
      <c r="L401" s="2">
        <v>110260.93</v>
      </c>
      <c r="M401">
        <v>904</v>
      </c>
      <c r="N401">
        <v>688</v>
      </c>
      <c r="O401" t="s">
        <v>21</v>
      </c>
      <c r="P401" s="2">
        <f>Tabela1[[#This Row],[orcamento_aprovado]]-Tabela1[[#This Row],[custo_real_acumulado]]</f>
        <v>8439.5</v>
      </c>
      <c r="Q401" t="str">
        <f>IF(Tabela1[[#This Row],[data_fim_real]]="","",Tabela1[[#This Row],[data_fim_real]]-Tabela1[[#This Row],[data_inicio_real]])</f>
        <v/>
      </c>
    </row>
    <row r="402" spans="1:17" ht="16.5" x14ac:dyDescent="0.5">
      <c r="A402" t="s">
        <v>1033</v>
      </c>
      <c r="B402" t="s">
        <v>1034</v>
      </c>
      <c r="C402" t="s">
        <v>735</v>
      </c>
      <c r="D402" t="s">
        <v>33</v>
      </c>
      <c r="E402" t="s">
        <v>43</v>
      </c>
      <c r="F402" s="1">
        <v>46096</v>
      </c>
      <c r="G402" s="1">
        <v>46174</v>
      </c>
      <c r="H402" s="1"/>
      <c r="I402" s="1"/>
      <c r="J402" s="2">
        <v>113566.06</v>
      </c>
      <c r="K402" s="2">
        <v>0</v>
      </c>
      <c r="L402" s="2">
        <v>137018.43</v>
      </c>
      <c r="M402">
        <v>977</v>
      </c>
      <c r="N402">
        <v>0</v>
      </c>
      <c r="O402" t="s">
        <v>26</v>
      </c>
      <c r="P402" s="2">
        <f>Tabela1[[#This Row],[orcamento_aprovado]]-Tabela1[[#This Row],[custo_real_acumulado]]</f>
        <v>113566.06</v>
      </c>
      <c r="Q402" t="str">
        <f>IF(Tabela1[[#This Row],[data_fim_real]]="","",Tabela1[[#This Row],[data_fim_real]]-Tabela1[[#This Row],[data_inicio_real]])</f>
        <v/>
      </c>
    </row>
    <row r="403" spans="1:17" ht="16.5" x14ac:dyDescent="0.5">
      <c r="A403" t="s">
        <v>1035</v>
      </c>
      <c r="B403" t="s">
        <v>1036</v>
      </c>
      <c r="C403" t="s">
        <v>64</v>
      </c>
      <c r="D403" t="s">
        <v>38</v>
      </c>
      <c r="E403" t="s">
        <v>43</v>
      </c>
      <c r="F403" s="1">
        <v>46049</v>
      </c>
      <c r="G403" s="1">
        <v>46115</v>
      </c>
      <c r="H403" s="1">
        <v>46064</v>
      </c>
      <c r="I403" s="1"/>
      <c r="J403" s="2">
        <v>50000</v>
      </c>
      <c r="K403" s="2">
        <v>22847.49</v>
      </c>
      <c r="L403" s="2">
        <v>42092.73</v>
      </c>
      <c r="M403">
        <v>1000</v>
      </c>
      <c r="N403">
        <v>457</v>
      </c>
      <c r="O403" t="s">
        <v>34</v>
      </c>
      <c r="P403" s="2">
        <f>Tabela1[[#This Row],[orcamento_aprovado]]-Tabela1[[#This Row],[custo_real_acumulado]]</f>
        <v>27152.51</v>
      </c>
      <c r="Q403" t="str">
        <f>IF(Tabela1[[#This Row],[data_fim_real]]="","",Tabela1[[#This Row],[data_fim_real]]-Tabela1[[#This Row],[data_inicio_real]])</f>
        <v/>
      </c>
    </row>
    <row r="404" spans="1:17" ht="16.5" x14ac:dyDescent="0.5">
      <c r="A404" t="s">
        <v>1037</v>
      </c>
      <c r="B404" t="s">
        <v>1038</v>
      </c>
      <c r="C404" t="s">
        <v>252</v>
      </c>
      <c r="D404" t="s">
        <v>71</v>
      </c>
      <c r="E404" t="s">
        <v>43</v>
      </c>
      <c r="F404" s="1">
        <v>46323</v>
      </c>
      <c r="G404" s="1">
        <v>46387</v>
      </c>
      <c r="H404" s="1">
        <v>46323</v>
      </c>
      <c r="I404" s="1">
        <v>46387</v>
      </c>
      <c r="J404" s="2">
        <v>79233.789999999994</v>
      </c>
      <c r="K404" s="2">
        <v>83294.789999999994</v>
      </c>
      <c r="L404" s="2">
        <v>71332.44</v>
      </c>
      <c r="M404">
        <v>1104</v>
      </c>
      <c r="N404">
        <v>1090</v>
      </c>
      <c r="O404" t="s">
        <v>21</v>
      </c>
      <c r="P404" s="2">
        <f>Tabela1[[#This Row],[orcamento_aprovado]]-Tabela1[[#This Row],[custo_real_acumulado]]</f>
        <v>-4061</v>
      </c>
      <c r="Q404">
        <f>IF(Tabela1[[#This Row],[data_fim_real]]="","",Tabela1[[#This Row],[data_fim_real]]-Tabela1[[#This Row],[data_inicio_real]])</f>
        <v>64</v>
      </c>
    </row>
    <row r="405" spans="1:17" ht="16.5" x14ac:dyDescent="0.5">
      <c r="A405" t="s">
        <v>1039</v>
      </c>
      <c r="B405" t="s">
        <v>1040</v>
      </c>
      <c r="C405" t="s">
        <v>364</v>
      </c>
      <c r="D405" t="s">
        <v>50</v>
      </c>
      <c r="E405" t="s">
        <v>42</v>
      </c>
      <c r="F405" s="1">
        <v>46171</v>
      </c>
      <c r="G405" s="1">
        <v>46189</v>
      </c>
      <c r="H405" s="1"/>
      <c r="I405" s="1"/>
      <c r="J405" s="2">
        <v>59707.41</v>
      </c>
      <c r="K405" s="2">
        <v>0</v>
      </c>
      <c r="L405" s="2">
        <v>24389.78</v>
      </c>
      <c r="M405">
        <v>934</v>
      </c>
      <c r="N405">
        <v>0</v>
      </c>
      <c r="O405" t="s">
        <v>26</v>
      </c>
      <c r="P405" s="2">
        <f>Tabela1[[#This Row],[orcamento_aprovado]]-Tabela1[[#This Row],[custo_real_acumulado]]</f>
        <v>59707.41</v>
      </c>
      <c r="Q405" t="str">
        <f>IF(Tabela1[[#This Row],[data_fim_real]]="","",Tabela1[[#This Row],[data_fim_real]]-Tabela1[[#This Row],[data_inicio_real]])</f>
        <v/>
      </c>
    </row>
    <row r="406" spans="1:17" ht="16.5" x14ac:dyDescent="0.5">
      <c r="A406" t="s">
        <v>1041</v>
      </c>
      <c r="B406" t="s">
        <v>1042</v>
      </c>
      <c r="C406" t="s">
        <v>1005</v>
      </c>
      <c r="D406" t="s">
        <v>50</v>
      </c>
      <c r="E406" t="s">
        <v>20</v>
      </c>
      <c r="F406" s="1">
        <v>46225</v>
      </c>
      <c r="G406" s="1">
        <v>46289</v>
      </c>
      <c r="H406" s="1">
        <v>46210</v>
      </c>
      <c r="I406" s="1"/>
      <c r="J406" s="2">
        <v>232715.58</v>
      </c>
      <c r="K406" s="2">
        <v>58770.09</v>
      </c>
      <c r="L406" s="2">
        <v>421572.27</v>
      </c>
      <c r="M406">
        <v>5209</v>
      </c>
      <c r="N406">
        <v>1792</v>
      </c>
      <c r="O406" t="s">
        <v>34</v>
      </c>
      <c r="P406" s="2">
        <f>Tabela1[[#This Row],[orcamento_aprovado]]-Tabela1[[#This Row],[custo_real_acumulado]]</f>
        <v>173945.49</v>
      </c>
      <c r="Q406" t="str">
        <f>IF(Tabela1[[#This Row],[data_fim_real]]="","",Tabela1[[#This Row],[data_fim_real]]-Tabela1[[#This Row],[data_inicio_real]])</f>
        <v/>
      </c>
    </row>
    <row r="407" spans="1:17" ht="16.5" x14ac:dyDescent="0.5">
      <c r="A407" t="s">
        <v>1043</v>
      </c>
      <c r="B407" t="s">
        <v>1044</v>
      </c>
      <c r="C407" t="s">
        <v>571</v>
      </c>
      <c r="D407" t="s">
        <v>58</v>
      </c>
      <c r="E407" t="s">
        <v>43</v>
      </c>
      <c r="F407" s="1">
        <v>46091</v>
      </c>
      <c r="G407" s="1">
        <v>46105</v>
      </c>
      <c r="H407" s="1">
        <v>46100</v>
      </c>
      <c r="I407" s="1"/>
      <c r="J407" s="2">
        <v>61751.15</v>
      </c>
      <c r="K407" s="2">
        <v>24907.78</v>
      </c>
      <c r="L407" s="2">
        <v>127820.83</v>
      </c>
      <c r="M407">
        <v>459</v>
      </c>
      <c r="N407">
        <v>196</v>
      </c>
      <c r="O407" t="s">
        <v>21</v>
      </c>
      <c r="P407" s="2">
        <f>Tabela1[[#This Row],[orcamento_aprovado]]-Tabela1[[#This Row],[custo_real_acumulado]]</f>
        <v>36843.370000000003</v>
      </c>
      <c r="Q407" t="str">
        <f>IF(Tabela1[[#This Row],[data_fim_real]]="","",Tabela1[[#This Row],[data_fim_real]]-Tabela1[[#This Row],[data_inicio_real]])</f>
        <v/>
      </c>
    </row>
    <row r="408" spans="1:17" ht="16.5" x14ac:dyDescent="0.5">
      <c r="A408" t="s">
        <v>1045</v>
      </c>
      <c r="B408" t="s">
        <v>1046</v>
      </c>
      <c r="C408" t="s">
        <v>1047</v>
      </c>
      <c r="D408" t="s">
        <v>50</v>
      </c>
      <c r="E408" t="s">
        <v>19</v>
      </c>
      <c r="F408" s="1">
        <v>46215</v>
      </c>
      <c r="G408" s="1">
        <v>46237</v>
      </c>
      <c r="H408" s="1">
        <v>46205</v>
      </c>
      <c r="I408" s="1"/>
      <c r="J408" s="2">
        <v>56413.760000000002</v>
      </c>
      <c r="K408" s="2">
        <v>2653.43</v>
      </c>
      <c r="L408" s="2">
        <v>114293.1</v>
      </c>
      <c r="M408">
        <v>775</v>
      </c>
      <c r="N408">
        <v>32</v>
      </c>
      <c r="O408" t="s">
        <v>26</v>
      </c>
      <c r="P408" s="2">
        <f>Tabela1[[#This Row],[orcamento_aprovado]]-Tabela1[[#This Row],[custo_real_acumulado]]</f>
        <v>53760.33</v>
      </c>
      <c r="Q408" t="str">
        <f>IF(Tabela1[[#This Row],[data_fim_real]]="","",Tabela1[[#This Row],[data_fim_real]]-Tabela1[[#This Row],[data_inicio_real]])</f>
        <v/>
      </c>
    </row>
    <row r="409" spans="1:17" ht="16.5" x14ac:dyDescent="0.5">
      <c r="A409" t="s">
        <v>1048</v>
      </c>
      <c r="B409" t="s">
        <v>1049</v>
      </c>
      <c r="C409" t="s">
        <v>179</v>
      </c>
      <c r="D409" t="s">
        <v>142</v>
      </c>
      <c r="E409" t="s">
        <v>19</v>
      </c>
      <c r="F409" s="1">
        <v>46178</v>
      </c>
      <c r="G409" s="1">
        <v>46244</v>
      </c>
      <c r="H409" s="1">
        <v>46181</v>
      </c>
      <c r="I409" s="1"/>
      <c r="J409" s="2">
        <v>50000</v>
      </c>
      <c r="K409" s="2">
        <v>15671.63</v>
      </c>
      <c r="L409" s="2">
        <v>106008.04</v>
      </c>
      <c r="M409">
        <v>1219</v>
      </c>
      <c r="N409">
        <v>363</v>
      </c>
      <c r="O409" t="s">
        <v>34</v>
      </c>
      <c r="P409" s="2">
        <f>Tabela1[[#This Row],[orcamento_aprovado]]-Tabela1[[#This Row],[custo_real_acumulado]]</f>
        <v>34328.370000000003</v>
      </c>
      <c r="Q409" t="str">
        <f>IF(Tabela1[[#This Row],[data_fim_real]]="","",Tabela1[[#This Row],[data_fim_real]]-Tabela1[[#This Row],[data_inicio_real]])</f>
        <v/>
      </c>
    </row>
    <row r="410" spans="1:17" ht="16.5" x14ac:dyDescent="0.5">
      <c r="A410" t="s">
        <v>1050</v>
      </c>
      <c r="B410" t="s">
        <v>1051</v>
      </c>
      <c r="C410" t="s">
        <v>132</v>
      </c>
      <c r="D410" t="s">
        <v>78</v>
      </c>
      <c r="E410" t="s">
        <v>20</v>
      </c>
      <c r="F410" s="1">
        <v>46331</v>
      </c>
      <c r="G410" s="1">
        <v>46387</v>
      </c>
      <c r="H410" s="1">
        <v>46327</v>
      </c>
      <c r="I410" s="1"/>
      <c r="J410" s="2">
        <v>55963.51</v>
      </c>
      <c r="K410" s="2">
        <v>28512.23</v>
      </c>
      <c r="L410" s="2">
        <v>115860.68</v>
      </c>
      <c r="M410">
        <v>583</v>
      </c>
      <c r="N410">
        <v>424</v>
      </c>
      <c r="O410" t="s">
        <v>21</v>
      </c>
      <c r="P410" s="2">
        <f>Tabela1[[#This Row],[orcamento_aprovado]]-Tabela1[[#This Row],[custo_real_acumulado]]</f>
        <v>27451.280000000002</v>
      </c>
      <c r="Q410" t="str">
        <f>IF(Tabela1[[#This Row],[data_fim_real]]="","",Tabela1[[#This Row],[data_fim_real]]-Tabela1[[#This Row],[data_inicio_real]])</f>
        <v/>
      </c>
    </row>
    <row r="411" spans="1:17" ht="16.5" x14ac:dyDescent="0.5">
      <c r="A411" t="s">
        <v>1052</v>
      </c>
      <c r="B411" t="s">
        <v>1053</v>
      </c>
      <c r="C411" t="s">
        <v>154</v>
      </c>
      <c r="D411" t="s">
        <v>25</v>
      </c>
      <c r="E411" t="s">
        <v>19</v>
      </c>
      <c r="F411" s="1">
        <v>46367</v>
      </c>
      <c r="G411" s="1">
        <v>46387</v>
      </c>
      <c r="H411" s="1"/>
      <c r="I411" s="1"/>
      <c r="J411" s="2">
        <v>86111.88</v>
      </c>
      <c r="K411" s="2">
        <v>0</v>
      </c>
      <c r="L411" s="2">
        <v>157821.1</v>
      </c>
      <c r="M411">
        <v>261</v>
      </c>
      <c r="N411">
        <v>0</v>
      </c>
      <c r="O411" t="s">
        <v>26</v>
      </c>
      <c r="P411" s="2">
        <f>Tabela1[[#This Row],[orcamento_aprovado]]-Tabela1[[#This Row],[custo_real_acumulado]]</f>
        <v>86111.88</v>
      </c>
      <c r="Q411" t="str">
        <f>IF(Tabela1[[#This Row],[data_fim_real]]="","",Tabela1[[#This Row],[data_fim_real]]-Tabela1[[#This Row],[data_inicio_real]])</f>
        <v/>
      </c>
    </row>
    <row r="412" spans="1:17" ht="16.5" x14ac:dyDescent="0.5">
      <c r="A412" t="s">
        <v>1054</v>
      </c>
      <c r="B412" t="s">
        <v>1055</v>
      </c>
      <c r="C412" t="s">
        <v>355</v>
      </c>
      <c r="D412" t="s">
        <v>142</v>
      </c>
      <c r="E412" t="s">
        <v>42</v>
      </c>
      <c r="F412" s="1">
        <v>46194</v>
      </c>
      <c r="G412" s="1">
        <v>46247</v>
      </c>
      <c r="H412" s="1">
        <v>46184</v>
      </c>
      <c r="I412" s="1"/>
      <c r="J412" s="2">
        <v>137979.21</v>
      </c>
      <c r="K412" s="2">
        <v>106518.24</v>
      </c>
      <c r="L412" s="2">
        <v>297748.38</v>
      </c>
      <c r="M412">
        <v>1664</v>
      </c>
      <c r="N412">
        <v>1288</v>
      </c>
      <c r="O412" t="s">
        <v>34</v>
      </c>
      <c r="P412" s="2">
        <f>Tabela1[[#This Row],[orcamento_aprovado]]-Tabela1[[#This Row],[custo_real_acumulado]]</f>
        <v>31460.969999999987</v>
      </c>
      <c r="Q412" t="str">
        <f>IF(Tabela1[[#This Row],[data_fim_real]]="","",Tabela1[[#This Row],[data_fim_real]]-Tabela1[[#This Row],[data_inicio_real]])</f>
        <v/>
      </c>
    </row>
    <row r="413" spans="1:17" ht="16.5" x14ac:dyDescent="0.5">
      <c r="A413" t="s">
        <v>1056</v>
      </c>
      <c r="B413" t="s">
        <v>1057</v>
      </c>
      <c r="C413" t="s">
        <v>109</v>
      </c>
      <c r="D413" t="s">
        <v>18</v>
      </c>
      <c r="E413" t="s">
        <v>20</v>
      </c>
      <c r="F413" s="1">
        <v>46151</v>
      </c>
      <c r="G413" s="1">
        <v>46186</v>
      </c>
      <c r="H413" s="1"/>
      <c r="I413" s="1"/>
      <c r="J413" s="2">
        <v>170128.1</v>
      </c>
      <c r="K413" s="2">
        <v>0</v>
      </c>
      <c r="L413" s="2">
        <v>119008.81</v>
      </c>
      <c r="M413">
        <v>1700</v>
      </c>
      <c r="N413">
        <v>0</v>
      </c>
      <c r="O413" t="s">
        <v>21</v>
      </c>
      <c r="P413" s="2">
        <f>Tabela1[[#This Row],[orcamento_aprovado]]-Tabela1[[#This Row],[custo_real_acumulado]]</f>
        <v>170128.1</v>
      </c>
      <c r="Q413" t="str">
        <f>IF(Tabela1[[#This Row],[data_fim_real]]="","",Tabela1[[#This Row],[data_fim_real]]-Tabela1[[#This Row],[data_inicio_real]])</f>
        <v/>
      </c>
    </row>
    <row r="414" spans="1:17" ht="16.5" x14ac:dyDescent="0.5">
      <c r="A414" t="s">
        <v>1058</v>
      </c>
      <c r="B414" t="s">
        <v>1059</v>
      </c>
      <c r="C414" t="s">
        <v>891</v>
      </c>
      <c r="D414" t="s">
        <v>71</v>
      </c>
      <c r="E414" t="s">
        <v>20</v>
      </c>
      <c r="F414" s="1">
        <v>46056</v>
      </c>
      <c r="G414" s="1">
        <v>46166</v>
      </c>
      <c r="H414" s="1"/>
      <c r="I414" s="1"/>
      <c r="J414" s="2">
        <v>59699.360000000001</v>
      </c>
      <c r="K414" s="2">
        <v>0</v>
      </c>
      <c r="L414" s="2">
        <v>32514.27</v>
      </c>
      <c r="M414">
        <v>5612</v>
      </c>
      <c r="N414">
        <v>0</v>
      </c>
      <c r="O414" t="s">
        <v>26</v>
      </c>
      <c r="P414" s="2">
        <f>Tabela1[[#This Row],[orcamento_aprovado]]-Tabela1[[#This Row],[custo_real_acumulado]]</f>
        <v>59699.360000000001</v>
      </c>
      <c r="Q414" t="str">
        <f>IF(Tabela1[[#This Row],[data_fim_real]]="","",Tabela1[[#This Row],[data_fim_real]]-Tabela1[[#This Row],[data_inicio_real]])</f>
        <v/>
      </c>
    </row>
    <row r="415" spans="1:17" ht="16.5" x14ac:dyDescent="0.5">
      <c r="A415" t="s">
        <v>1060</v>
      </c>
      <c r="B415" t="s">
        <v>1061</v>
      </c>
      <c r="C415" t="s">
        <v>288</v>
      </c>
      <c r="D415" t="s">
        <v>38</v>
      </c>
      <c r="E415" t="s">
        <v>43</v>
      </c>
      <c r="F415" s="1">
        <v>46028</v>
      </c>
      <c r="G415" s="1">
        <v>46082</v>
      </c>
      <c r="H415" s="1">
        <v>46028</v>
      </c>
      <c r="I415" s="1">
        <v>46091</v>
      </c>
      <c r="J415" s="2">
        <v>331822.63</v>
      </c>
      <c r="K415" s="2">
        <v>300167.15000000002</v>
      </c>
      <c r="L415" s="2">
        <v>243715.24</v>
      </c>
      <c r="M415">
        <v>1606</v>
      </c>
      <c r="N415">
        <v>1516</v>
      </c>
      <c r="O415" t="s">
        <v>34</v>
      </c>
      <c r="P415" s="2">
        <f>Tabela1[[#This Row],[orcamento_aprovado]]-Tabela1[[#This Row],[custo_real_acumulado]]</f>
        <v>31655.479999999981</v>
      </c>
      <c r="Q415">
        <f>IF(Tabela1[[#This Row],[data_fim_real]]="","",Tabela1[[#This Row],[data_fim_real]]-Tabela1[[#This Row],[data_inicio_real]])</f>
        <v>63</v>
      </c>
    </row>
    <row r="416" spans="1:17" ht="16.5" x14ac:dyDescent="0.5">
      <c r="A416" t="s">
        <v>1062</v>
      </c>
      <c r="B416" t="s">
        <v>1063</v>
      </c>
      <c r="C416" t="s">
        <v>1064</v>
      </c>
      <c r="D416" t="s">
        <v>142</v>
      </c>
      <c r="E416" t="s">
        <v>43</v>
      </c>
      <c r="F416" s="1">
        <v>46283</v>
      </c>
      <c r="G416" s="1">
        <v>46357</v>
      </c>
      <c r="H416" s="1">
        <v>46305</v>
      </c>
      <c r="I416" s="1">
        <v>46387</v>
      </c>
      <c r="J416" s="2">
        <v>105473.85</v>
      </c>
      <c r="K416" s="2">
        <v>112069.75999999999</v>
      </c>
      <c r="L416" s="2">
        <v>111746.08</v>
      </c>
      <c r="M416">
        <v>956</v>
      </c>
      <c r="N416">
        <v>788</v>
      </c>
      <c r="O416" t="s">
        <v>21</v>
      </c>
      <c r="P416" s="2">
        <f>Tabela1[[#This Row],[orcamento_aprovado]]-Tabela1[[#This Row],[custo_real_acumulado]]</f>
        <v>-6595.9099999999889</v>
      </c>
      <c r="Q416">
        <f>IF(Tabela1[[#This Row],[data_fim_real]]="","",Tabela1[[#This Row],[data_fim_real]]-Tabela1[[#This Row],[data_inicio_real]])</f>
        <v>82</v>
      </c>
    </row>
    <row r="417" spans="1:17" ht="16.5" x14ac:dyDescent="0.5">
      <c r="A417" t="s">
        <v>1065</v>
      </c>
      <c r="B417" t="s">
        <v>1066</v>
      </c>
      <c r="C417" t="s">
        <v>168</v>
      </c>
      <c r="D417" t="s">
        <v>50</v>
      </c>
      <c r="E417" t="s">
        <v>43</v>
      </c>
      <c r="F417" s="1">
        <v>46181</v>
      </c>
      <c r="G417" s="1">
        <v>46251</v>
      </c>
      <c r="H417" s="1">
        <v>46196</v>
      </c>
      <c r="I417" s="1"/>
      <c r="J417" s="2">
        <v>349765.27</v>
      </c>
      <c r="K417" s="2">
        <v>19239.009999999998</v>
      </c>
      <c r="L417" s="2">
        <v>233938.63</v>
      </c>
      <c r="M417">
        <v>2220</v>
      </c>
      <c r="N417">
        <v>115</v>
      </c>
      <c r="O417" t="s">
        <v>26</v>
      </c>
      <c r="P417" s="2">
        <f>Tabela1[[#This Row],[orcamento_aprovado]]-Tabela1[[#This Row],[custo_real_acumulado]]</f>
        <v>330526.26</v>
      </c>
      <c r="Q417" t="str">
        <f>IF(Tabela1[[#This Row],[data_fim_real]]="","",Tabela1[[#This Row],[data_fim_real]]-Tabela1[[#This Row],[data_inicio_real]])</f>
        <v/>
      </c>
    </row>
    <row r="418" spans="1:17" ht="16.5" x14ac:dyDescent="0.5">
      <c r="A418" t="s">
        <v>1067</v>
      </c>
      <c r="B418" t="s">
        <v>1068</v>
      </c>
      <c r="C418" t="s">
        <v>1069</v>
      </c>
      <c r="D418" t="s">
        <v>38</v>
      </c>
      <c r="E418" t="s">
        <v>20</v>
      </c>
      <c r="F418" s="1">
        <v>46119</v>
      </c>
      <c r="G418" s="1">
        <v>46189</v>
      </c>
      <c r="H418" s="1">
        <v>46128</v>
      </c>
      <c r="I418" s="1">
        <v>46210</v>
      </c>
      <c r="J418" s="2">
        <v>256895.61</v>
      </c>
      <c r="K418" s="2">
        <v>222348.23</v>
      </c>
      <c r="L418" s="2">
        <v>168232.66</v>
      </c>
      <c r="M418">
        <v>1721</v>
      </c>
      <c r="N418">
        <v>1569</v>
      </c>
      <c r="O418" t="s">
        <v>34</v>
      </c>
      <c r="P418" s="2">
        <f>Tabela1[[#This Row],[orcamento_aprovado]]-Tabela1[[#This Row],[custo_real_acumulado]]</f>
        <v>34547.379999999976</v>
      </c>
      <c r="Q418">
        <f>IF(Tabela1[[#This Row],[data_fim_real]]="","",Tabela1[[#This Row],[data_fim_real]]-Tabela1[[#This Row],[data_inicio_real]])</f>
        <v>82</v>
      </c>
    </row>
    <row r="419" spans="1:17" ht="16.5" x14ac:dyDescent="0.5">
      <c r="A419" t="s">
        <v>1070</v>
      </c>
      <c r="B419" t="s">
        <v>1071</v>
      </c>
      <c r="C419" t="s">
        <v>197</v>
      </c>
      <c r="D419" t="s">
        <v>142</v>
      </c>
      <c r="E419" t="s">
        <v>20</v>
      </c>
      <c r="F419" s="1">
        <v>46342</v>
      </c>
      <c r="G419" s="1">
        <v>46387</v>
      </c>
      <c r="H419" s="1">
        <v>46345</v>
      </c>
      <c r="I419" s="1"/>
      <c r="J419" s="2">
        <v>72651.41</v>
      </c>
      <c r="K419" s="2">
        <v>12807.2</v>
      </c>
      <c r="L419" s="2">
        <v>124999.55</v>
      </c>
      <c r="M419">
        <v>1227</v>
      </c>
      <c r="N419">
        <v>234</v>
      </c>
      <c r="O419" t="s">
        <v>21</v>
      </c>
      <c r="P419" s="2">
        <f>Tabela1[[#This Row],[orcamento_aprovado]]-Tabela1[[#This Row],[custo_real_acumulado]]</f>
        <v>59844.210000000006</v>
      </c>
      <c r="Q419" t="str">
        <f>IF(Tabela1[[#This Row],[data_fim_real]]="","",Tabela1[[#This Row],[data_fim_real]]-Tabela1[[#This Row],[data_inicio_real]])</f>
        <v/>
      </c>
    </row>
    <row r="420" spans="1:17" ht="16.5" x14ac:dyDescent="0.5">
      <c r="A420" t="s">
        <v>1072</v>
      </c>
      <c r="B420" t="s">
        <v>1073</v>
      </c>
      <c r="C420" t="s">
        <v>622</v>
      </c>
      <c r="D420" t="s">
        <v>50</v>
      </c>
      <c r="E420" t="s">
        <v>20</v>
      </c>
      <c r="F420" s="1">
        <v>46038</v>
      </c>
      <c r="G420" s="1">
        <v>46112</v>
      </c>
      <c r="H420" s="1">
        <v>46045</v>
      </c>
      <c r="I420" s="1"/>
      <c r="J420" s="2">
        <v>165688.72</v>
      </c>
      <c r="K420" s="2">
        <v>73686.73</v>
      </c>
      <c r="L420" s="2">
        <v>312923.92</v>
      </c>
      <c r="M420">
        <v>2621</v>
      </c>
      <c r="N420">
        <v>1261</v>
      </c>
      <c r="O420" t="s">
        <v>26</v>
      </c>
      <c r="P420" s="2">
        <f>Tabela1[[#This Row],[orcamento_aprovado]]-Tabela1[[#This Row],[custo_real_acumulado]]</f>
        <v>92001.99</v>
      </c>
      <c r="Q420" t="str">
        <f>IF(Tabela1[[#This Row],[data_fim_real]]="","",Tabela1[[#This Row],[data_fim_real]]-Tabela1[[#This Row],[data_inicio_real]])</f>
        <v/>
      </c>
    </row>
    <row r="421" spans="1:17" ht="16.5" x14ac:dyDescent="0.5">
      <c r="A421" t="s">
        <v>1074</v>
      </c>
      <c r="B421" t="s">
        <v>1075</v>
      </c>
      <c r="C421" t="s">
        <v>279</v>
      </c>
      <c r="D421" t="s">
        <v>78</v>
      </c>
      <c r="E421" t="s">
        <v>20</v>
      </c>
      <c r="F421" s="1">
        <v>46130</v>
      </c>
      <c r="G421" s="1">
        <v>46163</v>
      </c>
      <c r="H421" s="1">
        <v>46147</v>
      </c>
      <c r="I421" s="1"/>
      <c r="J421" s="2">
        <v>229537.63</v>
      </c>
      <c r="K421" s="2">
        <v>87666.1</v>
      </c>
      <c r="L421" s="2">
        <v>279855.52</v>
      </c>
      <c r="M421">
        <v>1047</v>
      </c>
      <c r="N421">
        <v>419</v>
      </c>
      <c r="O421" t="s">
        <v>34</v>
      </c>
      <c r="P421" s="2">
        <f>Tabela1[[#This Row],[orcamento_aprovado]]-Tabela1[[#This Row],[custo_real_acumulado]]</f>
        <v>141871.53</v>
      </c>
      <c r="Q421" t="str">
        <f>IF(Tabela1[[#This Row],[data_fim_real]]="","",Tabela1[[#This Row],[data_fim_real]]-Tabela1[[#This Row],[data_inicio_real]])</f>
        <v/>
      </c>
    </row>
    <row r="422" spans="1:17" ht="16.5" x14ac:dyDescent="0.5">
      <c r="A422" t="s">
        <v>1076</v>
      </c>
      <c r="B422" t="s">
        <v>1077</v>
      </c>
      <c r="C422" t="s">
        <v>782</v>
      </c>
      <c r="D422" t="s">
        <v>58</v>
      </c>
      <c r="E422" t="s">
        <v>19</v>
      </c>
      <c r="F422" s="1">
        <v>46046</v>
      </c>
      <c r="G422" s="1">
        <v>46145</v>
      </c>
      <c r="H422" s="1">
        <v>46051</v>
      </c>
      <c r="I422" s="1"/>
      <c r="J422" s="2">
        <v>98495.99</v>
      </c>
      <c r="K422" s="2">
        <v>26946.639999999999</v>
      </c>
      <c r="L422" s="2">
        <v>97864.67</v>
      </c>
      <c r="M422">
        <v>1254</v>
      </c>
      <c r="N422">
        <v>397</v>
      </c>
      <c r="O422" t="s">
        <v>21</v>
      </c>
      <c r="P422" s="2">
        <f>Tabela1[[#This Row],[orcamento_aprovado]]-Tabela1[[#This Row],[custo_real_acumulado]]</f>
        <v>71549.350000000006</v>
      </c>
      <c r="Q422" t="str">
        <f>IF(Tabela1[[#This Row],[data_fim_real]]="","",Tabela1[[#This Row],[data_fim_real]]-Tabela1[[#This Row],[data_inicio_real]])</f>
        <v/>
      </c>
    </row>
    <row r="423" spans="1:17" ht="16.5" x14ac:dyDescent="0.5">
      <c r="A423" t="s">
        <v>1078</v>
      </c>
      <c r="B423" t="s">
        <v>1079</v>
      </c>
      <c r="C423" t="s">
        <v>1080</v>
      </c>
      <c r="D423" t="s">
        <v>25</v>
      </c>
      <c r="E423" t="s">
        <v>20</v>
      </c>
      <c r="F423" s="1">
        <v>46056</v>
      </c>
      <c r="G423" s="1">
        <v>46131</v>
      </c>
      <c r="H423" s="1">
        <v>46075</v>
      </c>
      <c r="I423" s="1"/>
      <c r="J423" s="2">
        <v>251200.79</v>
      </c>
      <c r="K423" s="2">
        <v>164483.35999999999</v>
      </c>
      <c r="L423" s="2">
        <v>384687.39</v>
      </c>
      <c r="M423">
        <v>1040</v>
      </c>
      <c r="N423">
        <v>778</v>
      </c>
      <c r="O423" t="s">
        <v>26</v>
      </c>
      <c r="P423" s="2">
        <f>Tabela1[[#This Row],[orcamento_aprovado]]-Tabela1[[#This Row],[custo_real_acumulado]]</f>
        <v>86717.430000000022</v>
      </c>
      <c r="Q423" t="str">
        <f>IF(Tabela1[[#This Row],[data_fim_real]]="","",Tabela1[[#This Row],[data_fim_real]]-Tabela1[[#This Row],[data_inicio_real]])</f>
        <v/>
      </c>
    </row>
    <row r="424" spans="1:17" ht="16.5" x14ac:dyDescent="0.5">
      <c r="A424" t="s">
        <v>1081</v>
      </c>
      <c r="B424" t="s">
        <v>1082</v>
      </c>
      <c r="C424" t="s">
        <v>1083</v>
      </c>
      <c r="D424" t="s">
        <v>38</v>
      </c>
      <c r="E424" t="s">
        <v>20</v>
      </c>
      <c r="F424" s="1">
        <v>46134</v>
      </c>
      <c r="G424" s="1">
        <v>46200</v>
      </c>
      <c r="H424" s="1">
        <v>46130</v>
      </c>
      <c r="I424" s="1"/>
      <c r="J424" s="2">
        <v>242788.52</v>
      </c>
      <c r="K424" s="2">
        <v>184010.96</v>
      </c>
      <c r="L424" s="2">
        <v>181994.99</v>
      </c>
      <c r="M424">
        <v>1979</v>
      </c>
      <c r="N424">
        <v>1378</v>
      </c>
      <c r="O424" t="s">
        <v>34</v>
      </c>
      <c r="P424" s="2">
        <f>Tabela1[[#This Row],[orcamento_aprovado]]-Tabela1[[#This Row],[custo_real_acumulado]]</f>
        <v>58777.56</v>
      </c>
      <c r="Q424" t="str">
        <f>IF(Tabela1[[#This Row],[data_fim_real]]="","",Tabela1[[#This Row],[data_fim_real]]-Tabela1[[#This Row],[data_inicio_real]])</f>
        <v/>
      </c>
    </row>
    <row r="425" spans="1:17" ht="16.5" x14ac:dyDescent="0.5">
      <c r="A425" t="s">
        <v>1084</v>
      </c>
      <c r="B425" t="s">
        <v>1085</v>
      </c>
      <c r="C425" t="s">
        <v>489</v>
      </c>
      <c r="D425" t="s">
        <v>33</v>
      </c>
      <c r="E425" t="s">
        <v>43</v>
      </c>
      <c r="F425" s="1">
        <v>46262</v>
      </c>
      <c r="G425" s="1">
        <v>46325</v>
      </c>
      <c r="H425" s="1">
        <v>46263</v>
      </c>
      <c r="I425" s="1"/>
      <c r="J425" s="2">
        <v>104967.95</v>
      </c>
      <c r="K425" s="2">
        <v>95512.97</v>
      </c>
      <c r="L425" s="2">
        <v>44619.43</v>
      </c>
      <c r="M425">
        <v>854</v>
      </c>
      <c r="N425">
        <v>584</v>
      </c>
      <c r="O425" t="s">
        <v>21</v>
      </c>
      <c r="P425" s="2">
        <f>Tabela1[[#This Row],[orcamento_aprovado]]-Tabela1[[#This Row],[custo_real_acumulado]]</f>
        <v>9454.9799999999959</v>
      </c>
      <c r="Q425" t="str">
        <f>IF(Tabela1[[#This Row],[data_fim_real]]="","",Tabela1[[#This Row],[data_fim_real]]-Tabela1[[#This Row],[data_inicio_real]])</f>
        <v/>
      </c>
    </row>
    <row r="426" spans="1:17" ht="16.5" x14ac:dyDescent="0.5">
      <c r="A426" t="s">
        <v>1086</v>
      </c>
      <c r="B426" t="s">
        <v>1087</v>
      </c>
      <c r="C426" t="s">
        <v>512</v>
      </c>
      <c r="D426" t="s">
        <v>50</v>
      </c>
      <c r="E426" t="s">
        <v>19</v>
      </c>
      <c r="F426" s="1">
        <v>46042</v>
      </c>
      <c r="G426" s="1">
        <v>46056</v>
      </c>
      <c r="H426" s="1"/>
      <c r="I426" s="1"/>
      <c r="J426" s="2">
        <v>134900.53</v>
      </c>
      <c r="K426" s="2">
        <v>0</v>
      </c>
      <c r="L426" s="2">
        <v>158595.89000000001</v>
      </c>
      <c r="M426">
        <v>505</v>
      </c>
      <c r="N426">
        <v>0</v>
      </c>
      <c r="O426" t="s">
        <v>26</v>
      </c>
      <c r="P426" s="2">
        <f>Tabela1[[#This Row],[orcamento_aprovado]]-Tabela1[[#This Row],[custo_real_acumulado]]</f>
        <v>134900.53</v>
      </c>
      <c r="Q426" t="str">
        <f>IF(Tabela1[[#This Row],[data_fim_real]]="","",Tabela1[[#This Row],[data_fim_real]]-Tabela1[[#This Row],[data_inicio_real]])</f>
        <v/>
      </c>
    </row>
    <row r="427" spans="1:17" ht="16.5" x14ac:dyDescent="0.5">
      <c r="A427" t="s">
        <v>1088</v>
      </c>
      <c r="B427" t="s">
        <v>1089</v>
      </c>
      <c r="C427" t="s">
        <v>691</v>
      </c>
      <c r="D427" t="s">
        <v>78</v>
      </c>
      <c r="E427" t="s">
        <v>19</v>
      </c>
      <c r="F427" s="1">
        <v>46358</v>
      </c>
      <c r="G427" s="1">
        <v>46387</v>
      </c>
      <c r="H427" s="1">
        <v>46364</v>
      </c>
      <c r="I427" s="1"/>
      <c r="J427" s="2">
        <v>116277.49</v>
      </c>
      <c r="K427" s="2">
        <v>56898.42</v>
      </c>
      <c r="L427" s="2">
        <v>83279.38</v>
      </c>
      <c r="M427">
        <v>864</v>
      </c>
      <c r="N427">
        <v>374</v>
      </c>
      <c r="O427" t="s">
        <v>34</v>
      </c>
      <c r="P427" s="2">
        <f>Tabela1[[#This Row],[orcamento_aprovado]]-Tabela1[[#This Row],[custo_real_acumulado]]</f>
        <v>59379.070000000007</v>
      </c>
      <c r="Q427" t="str">
        <f>IF(Tabela1[[#This Row],[data_fim_real]]="","",Tabela1[[#This Row],[data_fim_real]]-Tabela1[[#This Row],[data_inicio_real]])</f>
        <v/>
      </c>
    </row>
    <row r="428" spans="1:17" ht="16.5" x14ac:dyDescent="0.5">
      <c r="A428" t="s">
        <v>1090</v>
      </c>
      <c r="B428" t="s">
        <v>1091</v>
      </c>
      <c r="C428" t="s">
        <v>265</v>
      </c>
      <c r="D428" t="s">
        <v>71</v>
      </c>
      <c r="E428" t="s">
        <v>19</v>
      </c>
      <c r="F428" s="1">
        <v>46130</v>
      </c>
      <c r="G428" s="1">
        <v>46224</v>
      </c>
      <c r="H428" s="1">
        <v>46114</v>
      </c>
      <c r="I428" s="1"/>
      <c r="J428" s="2">
        <v>354776.61</v>
      </c>
      <c r="K428" s="2">
        <v>161944.14000000001</v>
      </c>
      <c r="L428" s="2">
        <v>577822.73</v>
      </c>
      <c r="M428">
        <v>1485</v>
      </c>
      <c r="N428">
        <v>772</v>
      </c>
      <c r="O428" t="s">
        <v>21</v>
      </c>
      <c r="P428" s="2">
        <f>Tabela1[[#This Row],[orcamento_aprovado]]-Tabela1[[#This Row],[custo_real_acumulado]]</f>
        <v>192832.46999999997</v>
      </c>
      <c r="Q428" t="str">
        <f>IF(Tabela1[[#This Row],[data_fim_real]]="","",Tabela1[[#This Row],[data_fim_real]]-Tabela1[[#This Row],[data_inicio_real]])</f>
        <v/>
      </c>
    </row>
    <row r="429" spans="1:17" ht="16.5" x14ac:dyDescent="0.5">
      <c r="A429" t="s">
        <v>1092</v>
      </c>
      <c r="B429" t="s">
        <v>1093</v>
      </c>
      <c r="C429" t="s">
        <v>1094</v>
      </c>
      <c r="D429" t="s">
        <v>38</v>
      </c>
      <c r="E429" t="s">
        <v>43</v>
      </c>
      <c r="F429" s="1">
        <v>46192</v>
      </c>
      <c r="G429" s="1">
        <v>46238</v>
      </c>
      <c r="H429" s="1">
        <v>46208</v>
      </c>
      <c r="I429" s="1"/>
      <c r="J429" s="2">
        <v>94483.199999999997</v>
      </c>
      <c r="K429" s="2">
        <v>34000.11</v>
      </c>
      <c r="L429" s="2">
        <v>118362.77</v>
      </c>
      <c r="M429">
        <v>369</v>
      </c>
      <c r="N429">
        <v>119</v>
      </c>
      <c r="O429" t="s">
        <v>26</v>
      </c>
      <c r="P429" s="2">
        <f>Tabela1[[#This Row],[orcamento_aprovado]]-Tabela1[[#This Row],[custo_real_acumulado]]</f>
        <v>60483.09</v>
      </c>
      <c r="Q429" t="str">
        <f>IF(Tabela1[[#This Row],[data_fim_real]]="","",Tabela1[[#This Row],[data_fim_real]]-Tabela1[[#This Row],[data_inicio_real]])</f>
        <v/>
      </c>
    </row>
    <row r="430" spans="1:17" ht="16.5" x14ac:dyDescent="0.5">
      <c r="A430" t="s">
        <v>1095</v>
      </c>
      <c r="B430" t="s">
        <v>1096</v>
      </c>
      <c r="C430" t="s">
        <v>141</v>
      </c>
      <c r="D430" t="s">
        <v>25</v>
      </c>
      <c r="E430" t="s">
        <v>43</v>
      </c>
      <c r="F430" s="1">
        <v>46113</v>
      </c>
      <c r="G430" s="1">
        <v>46234</v>
      </c>
      <c r="H430" s="1">
        <v>46110</v>
      </c>
      <c r="I430" s="1"/>
      <c r="J430" s="2">
        <v>50000</v>
      </c>
      <c r="K430" s="2">
        <v>55816.93</v>
      </c>
      <c r="L430" s="2">
        <v>27452.59</v>
      </c>
      <c r="M430">
        <v>2251</v>
      </c>
      <c r="N430">
        <v>2039</v>
      </c>
      <c r="O430" t="s">
        <v>34</v>
      </c>
      <c r="P430" s="2">
        <f>Tabela1[[#This Row],[orcamento_aprovado]]-Tabela1[[#This Row],[custo_real_acumulado]]</f>
        <v>-5816.93</v>
      </c>
      <c r="Q430" t="str">
        <f>IF(Tabela1[[#This Row],[data_fim_real]]="","",Tabela1[[#This Row],[data_fim_real]]-Tabela1[[#This Row],[data_inicio_real]])</f>
        <v/>
      </c>
    </row>
    <row r="431" spans="1:17" ht="16.5" x14ac:dyDescent="0.5">
      <c r="A431" t="s">
        <v>1097</v>
      </c>
      <c r="B431" t="s">
        <v>1098</v>
      </c>
      <c r="C431" t="s">
        <v>677</v>
      </c>
      <c r="D431" t="s">
        <v>71</v>
      </c>
      <c r="E431" t="s">
        <v>43</v>
      </c>
      <c r="F431" s="1">
        <v>46103</v>
      </c>
      <c r="G431" s="1">
        <v>46152</v>
      </c>
      <c r="H431" s="1">
        <v>46103</v>
      </c>
      <c r="I431" s="1"/>
      <c r="J431" s="2">
        <v>64315.4</v>
      </c>
      <c r="K431" s="2">
        <v>60989.06</v>
      </c>
      <c r="L431" s="2">
        <v>94038.49</v>
      </c>
      <c r="M431">
        <v>867</v>
      </c>
      <c r="N431">
        <v>762</v>
      </c>
      <c r="O431" t="s">
        <v>21</v>
      </c>
      <c r="P431" s="2">
        <f>Tabela1[[#This Row],[orcamento_aprovado]]-Tabela1[[#This Row],[custo_real_acumulado]]</f>
        <v>3326.3400000000038</v>
      </c>
      <c r="Q431" t="str">
        <f>IF(Tabela1[[#This Row],[data_fim_real]]="","",Tabela1[[#This Row],[data_fim_real]]-Tabela1[[#This Row],[data_inicio_real]])</f>
        <v/>
      </c>
    </row>
    <row r="432" spans="1:17" ht="16.5" x14ac:dyDescent="0.5">
      <c r="A432" t="s">
        <v>1099</v>
      </c>
      <c r="B432" t="s">
        <v>1100</v>
      </c>
      <c r="C432" t="s">
        <v>564</v>
      </c>
      <c r="D432" t="s">
        <v>25</v>
      </c>
      <c r="E432" t="s">
        <v>43</v>
      </c>
      <c r="F432" s="1">
        <v>46026</v>
      </c>
      <c r="G432" s="1">
        <v>46122</v>
      </c>
      <c r="H432" s="1">
        <v>46029</v>
      </c>
      <c r="I432" s="1"/>
      <c r="J432" s="2">
        <v>75014.39</v>
      </c>
      <c r="K432" s="2">
        <v>38615.61</v>
      </c>
      <c r="L432" s="2">
        <v>116843.39</v>
      </c>
      <c r="M432">
        <v>3419</v>
      </c>
      <c r="N432">
        <v>1390</v>
      </c>
      <c r="O432" t="s">
        <v>26</v>
      </c>
      <c r="P432" s="2">
        <f>Tabela1[[#This Row],[orcamento_aprovado]]-Tabela1[[#This Row],[custo_real_acumulado]]</f>
        <v>36398.78</v>
      </c>
      <c r="Q432" t="str">
        <f>IF(Tabela1[[#This Row],[data_fim_real]]="","",Tabela1[[#This Row],[data_fim_real]]-Tabela1[[#This Row],[data_inicio_real]])</f>
        <v/>
      </c>
    </row>
    <row r="433" spans="1:17" ht="16.5" x14ac:dyDescent="0.5">
      <c r="A433" t="s">
        <v>1101</v>
      </c>
      <c r="B433" t="s">
        <v>1102</v>
      </c>
      <c r="C433" t="s">
        <v>109</v>
      </c>
      <c r="D433" t="s">
        <v>18</v>
      </c>
      <c r="E433" t="s">
        <v>43</v>
      </c>
      <c r="F433" s="1">
        <v>46223</v>
      </c>
      <c r="G433" s="1">
        <v>46285</v>
      </c>
      <c r="H433" s="1">
        <v>46229</v>
      </c>
      <c r="I433" s="1"/>
      <c r="J433" s="2">
        <v>82938.240000000005</v>
      </c>
      <c r="K433" s="2">
        <v>62301.58</v>
      </c>
      <c r="L433" s="2">
        <v>111920.36</v>
      </c>
      <c r="M433">
        <v>1396</v>
      </c>
      <c r="N433">
        <v>971</v>
      </c>
      <c r="O433" t="s">
        <v>34</v>
      </c>
      <c r="P433" s="2">
        <f>Tabela1[[#This Row],[orcamento_aprovado]]-Tabela1[[#This Row],[custo_real_acumulado]]</f>
        <v>20636.660000000003</v>
      </c>
      <c r="Q433" t="str">
        <f>IF(Tabela1[[#This Row],[data_fim_real]]="","",Tabela1[[#This Row],[data_fim_real]]-Tabela1[[#This Row],[data_inicio_real]])</f>
        <v/>
      </c>
    </row>
    <row r="434" spans="1:17" ht="16.5" x14ac:dyDescent="0.5">
      <c r="A434" t="s">
        <v>1103</v>
      </c>
      <c r="B434" t="s">
        <v>1104</v>
      </c>
      <c r="C434" t="s">
        <v>86</v>
      </c>
      <c r="D434" t="s">
        <v>58</v>
      </c>
      <c r="E434" t="s">
        <v>43</v>
      </c>
      <c r="F434" s="1">
        <v>46134</v>
      </c>
      <c r="G434" s="1">
        <v>46172</v>
      </c>
      <c r="H434" s="1">
        <v>46134</v>
      </c>
      <c r="I434" s="1"/>
      <c r="J434" s="2">
        <v>50000</v>
      </c>
      <c r="K434" s="2">
        <v>3088.92</v>
      </c>
      <c r="L434" s="2">
        <v>17226.13</v>
      </c>
      <c r="M434">
        <v>1313</v>
      </c>
      <c r="N434">
        <v>67</v>
      </c>
      <c r="O434" t="s">
        <v>21</v>
      </c>
      <c r="P434" s="2">
        <f>Tabela1[[#This Row],[orcamento_aprovado]]-Tabela1[[#This Row],[custo_real_acumulado]]</f>
        <v>46911.08</v>
      </c>
      <c r="Q434" t="str">
        <f>IF(Tabela1[[#This Row],[data_fim_real]]="","",Tabela1[[#This Row],[data_fim_real]]-Tabela1[[#This Row],[data_inicio_real]])</f>
        <v/>
      </c>
    </row>
    <row r="435" spans="1:17" ht="16.5" x14ac:dyDescent="0.5">
      <c r="A435" t="s">
        <v>1105</v>
      </c>
      <c r="B435" t="s">
        <v>1106</v>
      </c>
      <c r="C435" t="s">
        <v>129</v>
      </c>
      <c r="D435" t="s">
        <v>58</v>
      </c>
      <c r="E435" t="s">
        <v>43</v>
      </c>
      <c r="F435" s="1">
        <v>46218</v>
      </c>
      <c r="G435" s="1">
        <v>46281</v>
      </c>
      <c r="H435" s="1">
        <v>46209</v>
      </c>
      <c r="I435" s="1"/>
      <c r="J435" s="2">
        <v>1169295.1499999999</v>
      </c>
      <c r="K435" s="2">
        <v>788551.62</v>
      </c>
      <c r="L435" s="2">
        <v>2222458.0099999998</v>
      </c>
      <c r="M435">
        <v>1584</v>
      </c>
      <c r="N435">
        <v>1171</v>
      </c>
      <c r="O435" t="s">
        <v>26</v>
      </c>
      <c r="P435" s="2">
        <f>Tabela1[[#This Row],[orcamento_aprovado]]-Tabela1[[#This Row],[custo_real_acumulado]]</f>
        <v>380743.52999999991</v>
      </c>
      <c r="Q435" t="str">
        <f>IF(Tabela1[[#This Row],[data_fim_real]]="","",Tabela1[[#This Row],[data_fim_real]]-Tabela1[[#This Row],[data_inicio_real]])</f>
        <v/>
      </c>
    </row>
    <row r="436" spans="1:17" ht="16.5" x14ac:dyDescent="0.5">
      <c r="A436" t="s">
        <v>1107</v>
      </c>
      <c r="B436" t="s">
        <v>1108</v>
      </c>
      <c r="C436" t="s">
        <v>1005</v>
      </c>
      <c r="D436" t="s">
        <v>50</v>
      </c>
      <c r="E436" t="s">
        <v>19</v>
      </c>
      <c r="F436" s="1">
        <v>46110</v>
      </c>
      <c r="G436" s="1">
        <v>46141</v>
      </c>
      <c r="H436" s="1">
        <v>46111</v>
      </c>
      <c r="I436" s="1"/>
      <c r="J436" s="2">
        <v>155801.32999999999</v>
      </c>
      <c r="K436" s="2">
        <v>37788.93</v>
      </c>
      <c r="L436" s="2">
        <v>293325.43</v>
      </c>
      <c r="M436">
        <v>335</v>
      </c>
      <c r="N436">
        <v>112</v>
      </c>
      <c r="O436" t="s">
        <v>34</v>
      </c>
      <c r="P436" s="2">
        <f>Tabela1[[#This Row],[orcamento_aprovado]]-Tabela1[[#This Row],[custo_real_acumulado]]</f>
        <v>118012.4</v>
      </c>
      <c r="Q436" t="str">
        <f>IF(Tabela1[[#This Row],[data_fim_real]]="","",Tabela1[[#This Row],[data_fim_real]]-Tabela1[[#This Row],[data_inicio_real]])</f>
        <v/>
      </c>
    </row>
    <row r="437" spans="1:17" ht="16.5" x14ac:dyDescent="0.5">
      <c r="A437" t="s">
        <v>1109</v>
      </c>
      <c r="B437" t="s">
        <v>1110</v>
      </c>
      <c r="C437" t="s">
        <v>433</v>
      </c>
      <c r="D437" t="s">
        <v>54</v>
      </c>
      <c r="E437" t="s">
        <v>19</v>
      </c>
      <c r="F437" s="1">
        <v>46047</v>
      </c>
      <c r="G437" s="1">
        <v>46072</v>
      </c>
      <c r="H437" s="1">
        <v>46051</v>
      </c>
      <c r="I437" s="1"/>
      <c r="J437" s="2">
        <v>162941.70000000001</v>
      </c>
      <c r="K437" s="2">
        <v>64904.23</v>
      </c>
      <c r="L437" s="2">
        <v>198214.8</v>
      </c>
      <c r="M437">
        <v>528</v>
      </c>
      <c r="N437">
        <v>197</v>
      </c>
      <c r="O437" t="s">
        <v>21</v>
      </c>
      <c r="P437" s="2">
        <f>Tabela1[[#This Row],[orcamento_aprovado]]-Tabela1[[#This Row],[custo_real_acumulado]]</f>
        <v>98037.47</v>
      </c>
      <c r="Q437" t="str">
        <f>IF(Tabela1[[#This Row],[data_fim_real]]="","",Tabela1[[#This Row],[data_fim_real]]-Tabela1[[#This Row],[data_inicio_real]])</f>
        <v/>
      </c>
    </row>
    <row r="438" spans="1:17" ht="16.5" x14ac:dyDescent="0.5">
      <c r="A438" t="s">
        <v>1111</v>
      </c>
      <c r="B438" t="s">
        <v>1112</v>
      </c>
      <c r="C438" t="s">
        <v>1113</v>
      </c>
      <c r="D438" t="s">
        <v>33</v>
      </c>
      <c r="E438" t="s">
        <v>20</v>
      </c>
      <c r="F438" s="1">
        <v>46121</v>
      </c>
      <c r="G438" s="1">
        <v>46217</v>
      </c>
      <c r="H438" s="1"/>
      <c r="I438" s="1"/>
      <c r="J438" s="2">
        <v>50000</v>
      </c>
      <c r="K438" s="2">
        <v>0</v>
      </c>
      <c r="L438" s="2">
        <v>19729.2</v>
      </c>
      <c r="M438">
        <v>3079</v>
      </c>
      <c r="N438">
        <v>0</v>
      </c>
      <c r="O438" t="s">
        <v>26</v>
      </c>
      <c r="P438" s="2">
        <f>Tabela1[[#This Row],[orcamento_aprovado]]-Tabela1[[#This Row],[custo_real_acumulado]]</f>
        <v>50000</v>
      </c>
      <c r="Q438" t="str">
        <f>IF(Tabela1[[#This Row],[data_fim_real]]="","",Tabela1[[#This Row],[data_fim_real]]-Tabela1[[#This Row],[data_inicio_real]])</f>
        <v/>
      </c>
    </row>
    <row r="439" spans="1:17" ht="16.5" x14ac:dyDescent="0.5">
      <c r="A439" t="s">
        <v>1114</v>
      </c>
      <c r="B439" t="s">
        <v>1115</v>
      </c>
      <c r="C439" t="s">
        <v>1116</v>
      </c>
      <c r="D439" t="s">
        <v>33</v>
      </c>
      <c r="E439" t="s">
        <v>43</v>
      </c>
      <c r="F439" s="1">
        <v>46242</v>
      </c>
      <c r="G439" s="1">
        <v>46337</v>
      </c>
      <c r="H439" s="1">
        <v>46272</v>
      </c>
      <c r="I439" s="1"/>
      <c r="J439" s="2">
        <v>75841.2</v>
      </c>
      <c r="K439" s="2">
        <v>3937.35</v>
      </c>
      <c r="L439" s="2">
        <v>158296.97</v>
      </c>
      <c r="M439">
        <v>1363</v>
      </c>
      <c r="N439">
        <v>81</v>
      </c>
      <c r="O439" t="s">
        <v>34</v>
      </c>
      <c r="P439" s="2">
        <f>Tabela1[[#This Row],[orcamento_aprovado]]-Tabela1[[#This Row],[custo_real_acumulado]]</f>
        <v>71903.849999999991</v>
      </c>
      <c r="Q439" t="str">
        <f>IF(Tabela1[[#This Row],[data_fim_real]]="","",Tabela1[[#This Row],[data_fim_real]]-Tabela1[[#This Row],[data_inicio_real]])</f>
        <v/>
      </c>
    </row>
    <row r="440" spans="1:17" ht="16.5" x14ac:dyDescent="0.5">
      <c r="A440" t="s">
        <v>1117</v>
      </c>
      <c r="B440" t="s">
        <v>1118</v>
      </c>
      <c r="C440" t="s">
        <v>235</v>
      </c>
      <c r="D440" t="s">
        <v>78</v>
      </c>
      <c r="E440" t="s">
        <v>20</v>
      </c>
      <c r="F440" s="1">
        <v>46075</v>
      </c>
      <c r="G440" s="1">
        <v>46155</v>
      </c>
      <c r="H440" s="1">
        <v>46081</v>
      </c>
      <c r="I440" s="1"/>
      <c r="J440" s="2">
        <v>455969.63</v>
      </c>
      <c r="K440" s="2">
        <v>390622.27</v>
      </c>
      <c r="L440" s="2">
        <v>460116.22</v>
      </c>
      <c r="M440">
        <v>1832</v>
      </c>
      <c r="N440">
        <v>1097</v>
      </c>
      <c r="O440" t="s">
        <v>21</v>
      </c>
      <c r="P440" s="2">
        <f>Tabela1[[#This Row],[orcamento_aprovado]]-Tabela1[[#This Row],[custo_real_acumulado]]</f>
        <v>65347.359999999986</v>
      </c>
      <c r="Q440" t="str">
        <f>IF(Tabela1[[#This Row],[data_fim_real]]="","",Tabela1[[#This Row],[data_fim_real]]-Tabela1[[#This Row],[data_inicio_real]])</f>
        <v/>
      </c>
    </row>
    <row r="441" spans="1:17" ht="16.5" x14ac:dyDescent="0.5">
      <c r="A441" t="s">
        <v>1119</v>
      </c>
      <c r="B441" t="s">
        <v>1120</v>
      </c>
      <c r="C441" t="s">
        <v>157</v>
      </c>
      <c r="D441" t="s">
        <v>18</v>
      </c>
      <c r="E441" t="s">
        <v>20</v>
      </c>
      <c r="F441" s="1">
        <v>46142</v>
      </c>
      <c r="G441" s="1">
        <v>46187</v>
      </c>
      <c r="H441" s="1">
        <v>46122</v>
      </c>
      <c r="I441" s="1"/>
      <c r="J441" s="2">
        <v>51441.23</v>
      </c>
      <c r="K441" s="2">
        <v>37867.08</v>
      </c>
      <c r="L441" s="2">
        <v>111909.89</v>
      </c>
      <c r="M441">
        <v>1506</v>
      </c>
      <c r="N441">
        <v>1219</v>
      </c>
      <c r="O441" t="s">
        <v>26</v>
      </c>
      <c r="P441" s="2">
        <f>Tabela1[[#This Row],[orcamento_aprovado]]-Tabela1[[#This Row],[custo_real_acumulado]]</f>
        <v>13574.150000000001</v>
      </c>
      <c r="Q441" t="str">
        <f>IF(Tabela1[[#This Row],[data_fim_real]]="","",Tabela1[[#This Row],[data_fim_real]]-Tabela1[[#This Row],[data_inicio_real]])</f>
        <v/>
      </c>
    </row>
    <row r="442" spans="1:17" ht="16.5" x14ac:dyDescent="0.5">
      <c r="A442" t="s">
        <v>1121</v>
      </c>
      <c r="B442" t="s">
        <v>1122</v>
      </c>
      <c r="C442" t="s">
        <v>1123</v>
      </c>
      <c r="D442" t="s">
        <v>18</v>
      </c>
      <c r="E442" t="s">
        <v>20</v>
      </c>
      <c r="F442" s="1">
        <v>46351</v>
      </c>
      <c r="G442" s="1">
        <v>46387</v>
      </c>
      <c r="H442" s="1">
        <v>46337</v>
      </c>
      <c r="I442" s="1"/>
      <c r="J442" s="2">
        <v>126869.25</v>
      </c>
      <c r="K442" s="2">
        <v>74722.899999999994</v>
      </c>
      <c r="L442" s="2">
        <v>204534.68</v>
      </c>
      <c r="M442">
        <v>1086</v>
      </c>
      <c r="N442">
        <v>659</v>
      </c>
      <c r="O442" t="s">
        <v>34</v>
      </c>
      <c r="P442" s="2">
        <f>Tabela1[[#This Row],[orcamento_aprovado]]-Tabela1[[#This Row],[custo_real_acumulado]]</f>
        <v>52146.350000000006</v>
      </c>
      <c r="Q442" t="str">
        <f>IF(Tabela1[[#This Row],[data_fim_real]]="","",Tabela1[[#This Row],[data_fim_real]]-Tabela1[[#This Row],[data_inicio_real]])</f>
        <v/>
      </c>
    </row>
    <row r="443" spans="1:17" ht="16.5" x14ac:dyDescent="0.5">
      <c r="A443" t="s">
        <v>1124</v>
      </c>
      <c r="B443" t="s">
        <v>1125</v>
      </c>
      <c r="C443" t="s">
        <v>587</v>
      </c>
      <c r="D443" t="s">
        <v>33</v>
      </c>
      <c r="E443" t="s">
        <v>20</v>
      </c>
      <c r="F443" s="1">
        <v>46374</v>
      </c>
      <c r="G443" s="1">
        <v>46387</v>
      </c>
      <c r="H443" s="1">
        <v>46384</v>
      </c>
      <c r="I443" s="1">
        <v>46387</v>
      </c>
      <c r="J443" s="2">
        <v>1026654.56</v>
      </c>
      <c r="K443" s="2">
        <v>997810.05</v>
      </c>
      <c r="L443" s="2">
        <v>662639.9</v>
      </c>
      <c r="M443">
        <v>210</v>
      </c>
      <c r="N443">
        <v>207</v>
      </c>
      <c r="O443" t="s">
        <v>21</v>
      </c>
      <c r="P443" s="2">
        <f>Tabela1[[#This Row],[orcamento_aprovado]]-Tabela1[[#This Row],[custo_real_acumulado]]</f>
        <v>28844.510000000009</v>
      </c>
      <c r="Q443">
        <f>IF(Tabela1[[#This Row],[data_fim_real]]="","",Tabela1[[#This Row],[data_fim_real]]-Tabela1[[#This Row],[data_inicio_real]])</f>
        <v>3</v>
      </c>
    </row>
    <row r="444" spans="1:17" ht="16.5" x14ac:dyDescent="0.5">
      <c r="A444" t="s">
        <v>1126</v>
      </c>
      <c r="B444" t="s">
        <v>1127</v>
      </c>
      <c r="C444" t="s">
        <v>498</v>
      </c>
      <c r="D444" t="s">
        <v>54</v>
      </c>
      <c r="E444" t="s">
        <v>20</v>
      </c>
      <c r="F444" s="1">
        <v>46282</v>
      </c>
      <c r="G444" s="1">
        <v>46387</v>
      </c>
      <c r="H444" s="1">
        <v>46278</v>
      </c>
      <c r="I444" s="1"/>
      <c r="J444" s="2">
        <v>234657.69</v>
      </c>
      <c r="K444" s="2">
        <v>112639.19</v>
      </c>
      <c r="L444" s="2">
        <v>275533.88</v>
      </c>
      <c r="M444">
        <v>2319</v>
      </c>
      <c r="N444">
        <v>828</v>
      </c>
      <c r="O444" t="s">
        <v>26</v>
      </c>
      <c r="P444" s="2">
        <f>Tabela1[[#This Row],[orcamento_aprovado]]-Tabela1[[#This Row],[custo_real_acumulado]]</f>
        <v>122018.5</v>
      </c>
      <c r="Q444" t="str">
        <f>IF(Tabela1[[#This Row],[data_fim_real]]="","",Tabela1[[#This Row],[data_fim_real]]-Tabela1[[#This Row],[data_inicio_real]])</f>
        <v/>
      </c>
    </row>
    <row r="445" spans="1:17" ht="16.5" x14ac:dyDescent="0.5">
      <c r="A445" t="s">
        <v>1128</v>
      </c>
      <c r="B445" t="s">
        <v>1129</v>
      </c>
      <c r="C445" t="s">
        <v>208</v>
      </c>
      <c r="D445" t="s">
        <v>58</v>
      </c>
      <c r="E445" t="s">
        <v>19</v>
      </c>
      <c r="F445" s="1">
        <v>46216</v>
      </c>
      <c r="G445" s="1">
        <v>46277</v>
      </c>
      <c r="H445" s="1">
        <v>46222</v>
      </c>
      <c r="I445" s="1">
        <v>46271</v>
      </c>
      <c r="J445" s="2">
        <v>272897.7</v>
      </c>
      <c r="K445" s="2">
        <v>292811.02</v>
      </c>
      <c r="L445" s="2">
        <v>214617.73</v>
      </c>
      <c r="M445">
        <v>2808</v>
      </c>
      <c r="N445">
        <v>3368</v>
      </c>
      <c r="O445" t="s">
        <v>34</v>
      </c>
      <c r="P445" s="2">
        <f>Tabela1[[#This Row],[orcamento_aprovado]]-Tabela1[[#This Row],[custo_real_acumulado]]</f>
        <v>-19913.320000000007</v>
      </c>
      <c r="Q445">
        <f>IF(Tabela1[[#This Row],[data_fim_real]]="","",Tabela1[[#This Row],[data_fim_real]]-Tabela1[[#This Row],[data_inicio_real]])</f>
        <v>49</v>
      </c>
    </row>
    <row r="446" spans="1:17" ht="16.5" x14ac:dyDescent="0.5">
      <c r="A446" t="s">
        <v>1130</v>
      </c>
      <c r="B446" t="s">
        <v>1131</v>
      </c>
      <c r="C446" t="s">
        <v>727</v>
      </c>
      <c r="D446" t="s">
        <v>25</v>
      </c>
      <c r="E446" t="s">
        <v>43</v>
      </c>
      <c r="F446" s="1">
        <v>46168</v>
      </c>
      <c r="G446" s="1">
        <v>46190</v>
      </c>
      <c r="H446" s="1">
        <v>46157</v>
      </c>
      <c r="I446" s="1"/>
      <c r="J446" s="2">
        <v>54726.1</v>
      </c>
      <c r="K446" s="2">
        <v>54162.03</v>
      </c>
      <c r="L446" s="2">
        <v>111435.89</v>
      </c>
      <c r="M446">
        <v>764</v>
      </c>
      <c r="N446">
        <v>678</v>
      </c>
      <c r="O446" t="s">
        <v>21</v>
      </c>
      <c r="P446" s="2">
        <f>Tabela1[[#This Row],[orcamento_aprovado]]-Tabela1[[#This Row],[custo_real_acumulado]]</f>
        <v>564.06999999999971</v>
      </c>
      <c r="Q446" t="str">
        <f>IF(Tabela1[[#This Row],[data_fim_real]]="","",Tabela1[[#This Row],[data_fim_real]]-Tabela1[[#This Row],[data_inicio_real]])</f>
        <v/>
      </c>
    </row>
    <row r="447" spans="1:17" ht="16.5" x14ac:dyDescent="0.5">
      <c r="A447" t="s">
        <v>1132</v>
      </c>
      <c r="B447" t="s">
        <v>1133</v>
      </c>
      <c r="C447" t="s">
        <v>785</v>
      </c>
      <c r="D447" t="s">
        <v>71</v>
      </c>
      <c r="E447" t="s">
        <v>42</v>
      </c>
      <c r="F447" s="1">
        <v>46273</v>
      </c>
      <c r="G447" s="1">
        <v>46383</v>
      </c>
      <c r="H447" s="1">
        <v>46276</v>
      </c>
      <c r="I447" s="1">
        <v>46329</v>
      </c>
      <c r="J447" s="2">
        <v>50000</v>
      </c>
      <c r="K447" s="2">
        <v>28482.639999999999</v>
      </c>
      <c r="L447" s="2">
        <v>16212.72</v>
      </c>
      <c r="M447">
        <v>1755</v>
      </c>
      <c r="N447">
        <v>861</v>
      </c>
      <c r="O447" t="s">
        <v>26</v>
      </c>
      <c r="P447" s="2">
        <f>Tabela1[[#This Row],[orcamento_aprovado]]-Tabela1[[#This Row],[custo_real_acumulado]]</f>
        <v>21517.360000000001</v>
      </c>
      <c r="Q447">
        <f>IF(Tabela1[[#This Row],[data_fim_real]]="","",Tabela1[[#This Row],[data_fim_real]]-Tabela1[[#This Row],[data_inicio_real]])</f>
        <v>53</v>
      </c>
    </row>
    <row r="448" spans="1:17" ht="16.5" x14ac:dyDescent="0.5">
      <c r="A448" t="s">
        <v>1134</v>
      </c>
      <c r="B448" t="s">
        <v>1135</v>
      </c>
      <c r="C448" t="s">
        <v>46</v>
      </c>
      <c r="D448" t="s">
        <v>50</v>
      </c>
      <c r="E448" t="s">
        <v>43</v>
      </c>
      <c r="F448" s="1">
        <v>46149</v>
      </c>
      <c r="G448" s="1">
        <v>46196</v>
      </c>
      <c r="H448" s="1"/>
      <c r="I448" s="1"/>
      <c r="J448" s="2">
        <v>407645.55</v>
      </c>
      <c r="K448" s="2">
        <v>0</v>
      </c>
      <c r="L448" s="2">
        <v>586450.01</v>
      </c>
      <c r="M448">
        <v>478</v>
      </c>
      <c r="N448">
        <v>0</v>
      </c>
      <c r="O448" t="s">
        <v>34</v>
      </c>
      <c r="P448" s="2">
        <f>Tabela1[[#This Row],[orcamento_aprovado]]-Tabela1[[#This Row],[custo_real_acumulado]]</f>
        <v>407645.55</v>
      </c>
      <c r="Q448" t="str">
        <f>IF(Tabela1[[#This Row],[data_fim_real]]="","",Tabela1[[#This Row],[data_fim_real]]-Tabela1[[#This Row],[data_inicio_real]])</f>
        <v/>
      </c>
    </row>
    <row r="449" spans="1:17" ht="16.5" x14ac:dyDescent="0.5">
      <c r="A449" t="s">
        <v>1136</v>
      </c>
      <c r="B449" t="s">
        <v>1137</v>
      </c>
      <c r="C449" t="s">
        <v>691</v>
      </c>
      <c r="D449" t="s">
        <v>25</v>
      </c>
      <c r="E449" t="s">
        <v>20</v>
      </c>
      <c r="F449" s="1">
        <v>46323</v>
      </c>
      <c r="G449" s="1">
        <v>46384</v>
      </c>
      <c r="H449" s="1">
        <v>46330</v>
      </c>
      <c r="I449" s="1"/>
      <c r="J449" s="2">
        <v>485393.75</v>
      </c>
      <c r="K449" s="2">
        <v>402008.06</v>
      </c>
      <c r="L449" s="2">
        <v>265310.21999999997</v>
      </c>
      <c r="M449">
        <v>1211</v>
      </c>
      <c r="N449">
        <v>775</v>
      </c>
      <c r="O449" t="s">
        <v>21</v>
      </c>
      <c r="P449" s="2">
        <f>Tabela1[[#This Row],[orcamento_aprovado]]-Tabela1[[#This Row],[custo_real_acumulado]]</f>
        <v>83385.69</v>
      </c>
      <c r="Q449" t="str">
        <f>IF(Tabela1[[#This Row],[data_fim_real]]="","",Tabela1[[#This Row],[data_fim_real]]-Tabela1[[#This Row],[data_inicio_real]])</f>
        <v/>
      </c>
    </row>
    <row r="450" spans="1:17" ht="16.5" x14ac:dyDescent="0.5">
      <c r="A450" t="s">
        <v>1138</v>
      </c>
      <c r="B450" t="s">
        <v>1139</v>
      </c>
      <c r="C450" t="s">
        <v>179</v>
      </c>
      <c r="D450" t="s">
        <v>25</v>
      </c>
      <c r="E450" t="s">
        <v>19</v>
      </c>
      <c r="F450" s="1">
        <v>46348</v>
      </c>
      <c r="G450" s="1">
        <v>46387</v>
      </c>
      <c r="H450" s="1">
        <v>46345</v>
      </c>
      <c r="I450" s="1">
        <v>46387</v>
      </c>
      <c r="J450" s="2">
        <v>64288.4</v>
      </c>
      <c r="K450" s="2">
        <v>67652.210000000006</v>
      </c>
      <c r="L450" s="2">
        <v>87731.97</v>
      </c>
      <c r="M450">
        <v>1151</v>
      </c>
      <c r="N450">
        <v>960</v>
      </c>
      <c r="O450" t="s">
        <v>26</v>
      </c>
      <c r="P450" s="2">
        <f>Tabela1[[#This Row],[orcamento_aprovado]]-Tabela1[[#This Row],[custo_real_acumulado]]</f>
        <v>-3363.8100000000049</v>
      </c>
      <c r="Q450">
        <f>IF(Tabela1[[#This Row],[data_fim_real]]="","",Tabela1[[#This Row],[data_fim_real]]-Tabela1[[#This Row],[data_inicio_real]])</f>
        <v>42</v>
      </c>
    </row>
    <row r="451" spans="1:17" ht="16.5" x14ac:dyDescent="0.5">
      <c r="A451" t="s">
        <v>1140</v>
      </c>
      <c r="B451" t="s">
        <v>1141</v>
      </c>
      <c r="C451" t="s">
        <v>899</v>
      </c>
      <c r="D451" t="s">
        <v>18</v>
      </c>
      <c r="E451" t="s">
        <v>19</v>
      </c>
      <c r="F451" s="1">
        <v>46243</v>
      </c>
      <c r="G451" s="1">
        <v>46307</v>
      </c>
      <c r="H451" s="1">
        <v>46242</v>
      </c>
      <c r="I451" s="1"/>
      <c r="J451" s="2">
        <v>98772.72</v>
      </c>
      <c r="K451" s="2">
        <v>94914.63</v>
      </c>
      <c r="L451" s="2">
        <v>95498.77</v>
      </c>
      <c r="M451">
        <v>1750</v>
      </c>
      <c r="N451">
        <v>1289</v>
      </c>
      <c r="O451" t="s">
        <v>34</v>
      </c>
      <c r="P451" s="2">
        <f>Tabela1[[#This Row],[orcamento_aprovado]]-Tabela1[[#This Row],[custo_real_acumulado]]</f>
        <v>3858.0899999999965</v>
      </c>
      <c r="Q451" t="str">
        <f>IF(Tabela1[[#This Row],[data_fim_real]]="","",Tabela1[[#This Row],[data_fim_real]]-Tabela1[[#This Row],[data_inicio_real]])</f>
        <v/>
      </c>
    </row>
    <row r="452" spans="1:17" ht="16.5" x14ac:dyDescent="0.5">
      <c r="A452" t="s">
        <v>1142</v>
      </c>
      <c r="B452" t="s">
        <v>1143</v>
      </c>
      <c r="C452" t="s">
        <v>949</v>
      </c>
      <c r="D452" t="s">
        <v>58</v>
      </c>
      <c r="E452" t="s">
        <v>19</v>
      </c>
      <c r="F452" s="1">
        <v>46343</v>
      </c>
      <c r="G452" s="1">
        <v>46387</v>
      </c>
      <c r="H452" s="1">
        <v>46341</v>
      </c>
      <c r="I452" s="1"/>
      <c r="J452" s="2">
        <v>108452.26</v>
      </c>
      <c r="K452" s="2">
        <v>67053.67</v>
      </c>
      <c r="L452" s="2">
        <v>128323.33</v>
      </c>
      <c r="M452">
        <v>2170</v>
      </c>
      <c r="N452">
        <v>1448</v>
      </c>
      <c r="O452" t="s">
        <v>21</v>
      </c>
      <c r="P452" s="2">
        <f>Tabela1[[#This Row],[orcamento_aprovado]]-Tabela1[[#This Row],[custo_real_acumulado]]</f>
        <v>41398.589999999997</v>
      </c>
      <c r="Q452" t="str">
        <f>IF(Tabela1[[#This Row],[data_fim_real]]="","",Tabela1[[#This Row],[data_fim_real]]-Tabela1[[#This Row],[data_inicio_real]])</f>
        <v/>
      </c>
    </row>
    <row r="453" spans="1:17" ht="16.5" x14ac:dyDescent="0.5">
      <c r="A453" t="s">
        <v>1144</v>
      </c>
      <c r="B453" t="s">
        <v>1145</v>
      </c>
      <c r="C453" t="s">
        <v>422</v>
      </c>
      <c r="D453" t="s">
        <v>71</v>
      </c>
      <c r="E453" t="s">
        <v>20</v>
      </c>
      <c r="F453" s="1">
        <v>46044</v>
      </c>
      <c r="G453" s="1">
        <v>46092</v>
      </c>
      <c r="H453" s="1">
        <v>46050</v>
      </c>
      <c r="I453" s="1">
        <v>46105</v>
      </c>
      <c r="J453" s="2">
        <v>419682.35</v>
      </c>
      <c r="K453" s="2">
        <v>506825.12</v>
      </c>
      <c r="L453" s="2">
        <v>859406.54</v>
      </c>
      <c r="M453">
        <v>669</v>
      </c>
      <c r="N453">
        <v>780</v>
      </c>
      <c r="O453" t="s">
        <v>26</v>
      </c>
      <c r="P453" s="2">
        <f>Tabela1[[#This Row],[orcamento_aprovado]]-Tabela1[[#This Row],[custo_real_acumulado]]</f>
        <v>-87142.770000000019</v>
      </c>
      <c r="Q453">
        <f>IF(Tabela1[[#This Row],[data_fim_real]]="","",Tabela1[[#This Row],[data_fim_real]]-Tabela1[[#This Row],[data_inicio_real]])</f>
        <v>55</v>
      </c>
    </row>
    <row r="454" spans="1:17" ht="16.5" x14ac:dyDescent="0.5">
      <c r="A454" t="s">
        <v>1146</v>
      </c>
      <c r="B454" t="s">
        <v>1147</v>
      </c>
      <c r="C454" t="s">
        <v>1148</v>
      </c>
      <c r="D454" t="s">
        <v>33</v>
      </c>
      <c r="E454" t="s">
        <v>42</v>
      </c>
      <c r="F454" s="1">
        <v>46216</v>
      </c>
      <c r="G454" s="1">
        <v>46326</v>
      </c>
      <c r="H454" s="1">
        <v>46231</v>
      </c>
      <c r="I454" s="1">
        <v>46349</v>
      </c>
      <c r="J454" s="2">
        <v>50000</v>
      </c>
      <c r="K454" s="2">
        <v>56002.6</v>
      </c>
      <c r="L454" s="2">
        <v>54657.59</v>
      </c>
      <c r="M454">
        <v>3085</v>
      </c>
      <c r="N454">
        <v>3572</v>
      </c>
      <c r="O454" t="s">
        <v>34</v>
      </c>
      <c r="P454" s="2">
        <f>Tabela1[[#This Row],[orcamento_aprovado]]-Tabela1[[#This Row],[custo_real_acumulado]]</f>
        <v>-6002.5999999999985</v>
      </c>
      <c r="Q454">
        <f>IF(Tabela1[[#This Row],[data_fim_real]]="","",Tabela1[[#This Row],[data_fim_real]]-Tabela1[[#This Row],[data_inicio_real]])</f>
        <v>118</v>
      </c>
    </row>
    <row r="455" spans="1:17" ht="16.5" x14ac:dyDescent="0.5">
      <c r="A455" t="s">
        <v>1149</v>
      </c>
      <c r="B455" t="s">
        <v>1150</v>
      </c>
      <c r="C455" t="s">
        <v>57</v>
      </c>
      <c r="D455" t="s">
        <v>78</v>
      </c>
      <c r="E455" t="s">
        <v>43</v>
      </c>
      <c r="F455" s="1">
        <v>46234</v>
      </c>
      <c r="G455" s="1">
        <v>46274</v>
      </c>
      <c r="H455" s="1">
        <v>46242</v>
      </c>
      <c r="I455" s="1"/>
      <c r="J455" s="2">
        <v>113229.89</v>
      </c>
      <c r="K455" s="2">
        <v>85275.22</v>
      </c>
      <c r="L455" s="2">
        <v>74393.94</v>
      </c>
      <c r="M455">
        <v>769</v>
      </c>
      <c r="N455">
        <v>550</v>
      </c>
      <c r="O455" t="s">
        <v>21</v>
      </c>
      <c r="P455" s="2">
        <f>Tabela1[[#This Row],[orcamento_aprovado]]-Tabela1[[#This Row],[custo_real_acumulado]]</f>
        <v>27954.67</v>
      </c>
      <c r="Q455" t="str">
        <f>IF(Tabela1[[#This Row],[data_fim_real]]="","",Tabela1[[#This Row],[data_fim_real]]-Tabela1[[#This Row],[data_inicio_real]])</f>
        <v/>
      </c>
    </row>
    <row r="456" spans="1:17" ht="16.5" x14ac:dyDescent="0.5">
      <c r="A456" t="s">
        <v>1151</v>
      </c>
      <c r="B456" t="s">
        <v>1152</v>
      </c>
      <c r="C456" t="s">
        <v>839</v>
      </c>
      <c r="D456" t="s">
        <v>25</v>
      </c>
      <c r="E456" t="s">
        <v>43</v>
      </c>
      <c r="F456" s="1">
        <v>46074</v>
      </c>
      <c r="G456" s="1">
        <v>46187</v>
      </c>
      <c r="H456" s="1">
        <v>46075</v>
      </c>
      <c r="I456" s="1">
        <v>46171</v>
      </c>
      <c r="J456" s="2">
        <v>118303.74</v>
      </c>
      <c r="K456" s="2">
        <v>133239.48000000001</v>
      </c>
      <c r="L456" s="2">
        <v>150899.44</v>
      </c>
      <c r="M456">
        <v>3585</v>
      </c>
      <c r="N456">
        <v>3733</v>
      </c>
      <c r="O456" t="s">
        <v>26</v>
      </c>
      <c r="P456" s="2">
        <f>Tabela1[[#This Row],[orcamento_aprovado]]-Tabela1[[#This Row],[custo_real_acumulado]]</f>
        <v>-14935.740000000005</v>
      </c>
      <c r="Q456">
        <f>IF(Tabela1[[#This Row],[data_fim_real]]="","",Tabela1[[#This Row],[data_fim_real]]-Tabela1[[#This Row],[data_inicio_real]])</f>
        <v>96</v>
      </c>
    </row>
    <row r="457" spans="1:17" ht="16.5" x14ac:dyDescent="0.5">
      <c r="A457" t="s">
        <v>1153</v>
      </c>
      <c r="B457" t="s">
        <v>1154</v>
      </c>
      <c r="C457" t="s">
        <v>670</v>
      </c>
      <c r="D457" t="s">
        <v>50</v>
      </c>
      <c r="E457" t="s">
        <v>20</v>
      </c>
      <c r="F457" s="1">
        <v>46146</v>
      </c>
      <c r="G457" s="1">
        <v>46209</v>
      </c>
      <c r="H457" s="1">
        <v>46150</v>
      </c>
      <c r="I457" s="1"/>
      <c r="J457" s="2">
        <v>50000</v>
      </c>
      <c r="K457" s="2">
        <v>35337.599999999999</v>
      </c>
      <c r="L457" s="2">
        <v>57752.3</v>
      </c>
      <c r="M457">
        <v>1019</v>
      </c>
      <c r="N457">
        <v>726</v>
      </c>
      <c r="O457" t="s">
        <v>34</v>
      </c>
      <c r="P457" s="2">
        <f>Tabela1[[#This Row],[orcamento_aprovado]]-Tabela1[[#This Row],[custo_real_acumulado]]</f>
        <v>14662.400000000001</v>
      </c>
      <c r="Q457" t="str">
        <f>IF(Tabela1[[#This Row],[data_fim_real]]="","",Tabela1[[#This Row],[data_fim_real]]-Tabela1[[#This Row],[data_inicio_real]])</f>
        <v/>
      </c>
    </row>
    <row r="458" spans="1:17" ht="16.5" x14ac:dyDescent="0.5">
      <c r="A458" t="s">
        <v>1155</v>
      </c>
      <c r="B458" t="s">
        <v>1156</v>
      </c>
      <c r="C458" t="s">
        <v>392</v>
      </c>
      <c r="D458" t="s">
        <v>18</v>
      </c>
      <c r="E458" t="s">
        <v>42</v>
      </c>
      <c r="F458" s="1">
        <v>46137</v>
      </c>
      <c r="G458" s="1">
        <v>46242</v>
      </c>
      <c r="H458" s="1">
        <v>46124</v>
      </c>
      <c r="I458" s="1"/>
      <c r="J458" s="2">
        <v>189822.55</v>
      </c>
      <c r="K458" s="2">
        <v>151017.32999999999</v>
      </c>
      <c r="L458" s="2">
        <v>228980.03</v>
      </c>
      <c r="M458">
        <v>1442</v>
      </c>
      <c r="N458">
        <v>1159</v>
      </c>
      <c r="O458" t="s">
        <v>21</v>
      </c>
      <c r="P458" s="2">
        <f>Tabela1[[#This Row],[orcamento_aprovado]]-Tabela1[[#This Row],[custo_real_acumulado]]</f>
        <v>38805.22</v>
      </c>
      <c r="Q458" t="str">
        <f>IF(Tabela1[[#This Row],[data_fim_real]]="","",Tabela1[[#This Row],[data_fim_real]]-Tabela1[[#This Row],[data_inicio_real]])</f>
        <v/>
      </c>
    </row>
    <row r="459" spans="1:17" ht="16.5" x14ac:dyDescent="0.5">
      <c r="A459" t="s">
        <v>1157</v>
      </c>
      <c r="B459" t="s">
        <v>1158</v>
      </c>
      <c r="C459" t="s">
        <v>785</v>
      </c>
      <c r="D459" t="s">
        <v>78</v>
      </c>
      <c r="E459" t="s">
        <v>20</v>
      </c>
      <c r="F459" s="1">
        <v>46082</v>
      </c>
      <c r="G459" s="1">
        <v>46198</v>
      </c>
      <c r="H459" s="1">
        <v>46079</v>
      </c>
      <c r="I459" s="1"/>
      <c r="J459" s="2">
        <v>112160.55</v>
      </c>
      <c r="K459" s="2">
        <v>88072.1</v>
      </c>
      <c r="L459" s="2">
        <v>156796.69</v>
      </c>
      <c r="M459">
        <v>3586</v>
      </c>
      <c r="N459">
        <v>2448</v>
      </c>
      <c r="O459" t="s">
        <v>26</v>
      </c>
      <c r="P459" s="2">
        <f>Tabela1[[#This Row],[orcamento_aprovado]]-Tabela1[[#This Row],[custo_real_acumulado]]</f>
        <v>24088.449999999997</v>
      </c>
      <c r="Q459" t="str">
        <f>IF(Tabela1[[#This Row],[data_fim_real]]="","",Tabela1[[#This Row],[data_fim_real]]-Tabela1[[#This Row],[data_inicio_real]])</f>
        <v/>
      </c>
    </row>
    <row r="460" spans="1:17" ht="16.5" x14ac:dyDescent="0.5">
      <c r="A460" t="s">
        <v>1159</v>
      </c>
      <c r="B460" t="s">
        <v>1160</v>
      </c>
      <c r="C460" t="s">
        <v>81</v>
      </c>
      <c r="D460" t="s">
        <v>54</v>
      </c>
      <c r="E460" t="s">
        <v>20</v>
      </c>
      <c r="F460" s="1">
        <v>46174</v>
      </c>
      <c r="G460" s="1">
        <v>46237</v>
      </c>
      <c r="H460" s="1">
        <v>46182</v>
      </c>
      <c r="I460" s="1">
        <v>46265</v>
      </c>
      <c r="J460" s="2">
        <v>110530.2</v>
      </c>
      <c r="K460" s="2">
        <v>123931.88</v>
      </c>
      <c r="L460" s="2">
        <v>120192.38</v>
      </c>
      <c r="M460">
        <v>1835</v>
      </c>
      <c r="N460">
        <v>1491</v>
      </c>
      <c r="O460" t="s">
        <v>34</v>
      </c>
      <c r="P460" s="2">
        <f>Tabela1[[#This Row],[orcamento_aprovado]]-Tabela1[[#This Row],[custo_real_acumulado]]</f>
        <v>-13401.680000000008</v>
      </c>
      <c r="Q460">
        <f>IF(Tabela1[[#This Row],[data_fim_real]]="","",Tabela1[[#This Row],[data_fim_real]]-Tabela1[[#This Row],[data_inicio_real]])</f>
        <v>83</v>
      </c>
    </row>
    <row r="461" spans="1:17" ht="16.5" x14ac:dyDescent="0.5">
      <c r="A461" t="s">
        <v>1161</v>
      </c>
      <c r="B461" t="s">
        <v>1162</v>
      </c>
      <c r="C461" t="s">
        <v>315</v>
      </c>
      <c r="D461" t="s">
        <v>25</v>
      </c>
      <c r="E461" t="s">
        <v>43</v>
      </c>
      <c r="F461" s="1">
        <v>46193</v>
      </c>
      <c r="G461" s="1">
        <v>46322</v>
      </c>
      <c r="H461" s="1">
        <v>46199</v>
      </c>
      <c r="I461" s="1"/>
      <c r="J461" s="2">
        <v>109882.48</v>
      </c>
      <c r="K461" s="2">
        <v>80638.91</v>
      </c>
      <c r="L461" s="2">
        <v>82459.520000000004</v>
      </c>
      <c r="M461">
        <v>6335</v>
      </c>
      <c r="N461">
        <v>5501</v>
      </c>
      <c r="O461" t="s">
        <v>21</v>
      </c>
      <c r="P461" s="2">
        <f>Tabela1[[#This Row],[orcamento_aprovado]]-Tabela1[[#This Row],[custo_real_acumulado]]</f>
        <v>29243.569999999992</v>
      </c>
      <c r="Q461" t="str">
        <f>IF(Tabela1[[#This Row],[data_fim_real]]="","",Tabela1[[#This Row],[data_fim_real]]-Tabela1[[#This Row],[data_inicio_real]])</f>
        <v/>
      </c>
    </row>
    <row r="462" spans="1:17" ht="16.5" x14ac:dyDescent="0.5">
      <c r="A462" t="s">
        <v>1163</v>
      </c>
      <c r="B462" t="s">
        <v>1164</v>
      </c>
      <c r="C462" t="s">
        <v>614</v>
      </c>
      <c r="D462" t="s">
        <v>54</v>
      </c>
      <c r="E462" t="s">
        <v>43</v>
      </c>
      <c r="F462" s="1">
        <v>46223</v>
      </c>
      <c r="G462" s="1">
        <v>46311</v>
      </c>
      <c r="H462" s="1">
        <v>46228</v>
      </c>
      <c r="I462" s="1"/>
      <c r="J462" s="2">
        <v>89513.19</v>
      </c>
      <c r="K462" s="2">
        <v>70674.820000000007</v>
      </c>
      <c r="L462" s="2">
        <v>50855.99</v>
      </c>
      <c r="M462">
        <v>3314</v>
      </c>
      <c r="N462">
        <v>2257</v>
      </c>
      <c r="O462" t="s">
        <v>26</v>
      </c>
      <c r="P462" s="2">
        <f>Tabela1[[#This Row],[orcamento_aprovado]]-Tabela1[[#This Row],[custo_real_acumulado]]</f>
        <v>18838.369999999995</v>
      </c>
      <c r="Q462" t="str">
        <f>IF(Tabela1[[#This Row],[data_fim_real]]="","",Tabela1[[#This Row],[data_fim_real]]-Tabela1[[#This Row],[data_inicio_real]])</f>
        <v/>
      </c>
    </row>
    <row r="463" spans="1:17" ht="16.5" x14ac:dyDescent="0.5">
      <c r="A463" t="s">
        <v>1165</v>
      </c>
      <c r="B463" t="s">
        <v>1166</v>
      </c>
      <c r="C463" t="s">
        <v>1167</v>
      </c>
      <c r="D463" t="s">
        <v>78</v>
      </c>
      <c r="E463" t="s">
        <v>19</v>
      </c>
      <c r="F463" s="1">
        <v>46097</v>
      </c>
      <c r="G463" s="1">
        <v>46253</v>
      </c>
      <c r="H463" s="1">
        <v>46092</v>
      </c>
      <c r="I463" s="1"/>
      <c r="J463" s="2">
        <v>55193.83</v>
      </c>
      <c r="K463" s="2">
        <v>36445.49</v>
      </c>
      <c r="L463" s="2">
        <v>33157.019999999997</v>
      </c>
      <c r="M463">
        <v>2051</v>
      </c>
      <c r="N463">
        <v>1608</v>
      </c>
      <c r="O463" t="s">
        <v>34</v>
      </c>
      <c r="P463" s="2">
        <f>Tabela1[[#This Row],[orcamento_aprovado]]-Tabela1[[#This Row],[custo_real_acumulado]]</f>
        <v>18748.340000000004</v>
      </c>
      <c r="Q463" t="str">
        <f>IF(Tabela1[[#This Row],[data_fim_real]]="","",Tabela1[[#This Row],[data_fim_real]]-Tabela1[[#This Row],[data_inicio_real]])</f>
        <v/>
      </c>
    </row>
    <row r="464" spans="1:17" ht="16.5" x14ac:dyDescent="0.5">
      <c r="A464" t="s">
        <v>1168</v>
      </c>
      <c r="B464" t="s">
        <v>1169</v>
      </c>
      <c r="C464" t="s">
        <v>896</v>
      </c>
      <c r="D464" t="s">
        <v>33</v>
      </c>
      <c r="E464" t="s">
        <v>20</v>
      </c>
      <c r="F464" s="1">
        <v>46326</v>
      </c>
      <c r="G464" s="1">
        <v>46387</v>
      </c>
      <c r="H464" s="1">
        <v>46330</v>
      </c>
      <c r="I464" s="1">
        <v>46365</v>
      </c>
      <c r="J464" s="2">
        <v>335798.87</v>
      </c>
      <c r="K464" s="2">
        <v>52360.35</v>
      </c>
      <c r="L464" s="2">
        <v>499309.84</v>
      </c>
      <c r="M464">
        <v>1975</v>
      </c>
      <c r="N464">
        <v>249</v>
      </c>
      <c r="O464" t="s">
        <v>21</v>
      </c>
      <c r="P464" s="2">
        <f>Tabela1[[#This Row],[orcamento_aprovado]]-Tabela1[[#This Row],[custo_real_acumulado]]</f>
        <v>283438.52</v>
      </c>
      <c r="Q464">
        <f>IF(Tabela1[[#This Row],[data_fim_real]]="","",Tabela1[[#This Row],[data_fim_real]]-Tabela1[[#This Row],[data_inicio_real]])</f>
        <v>35</v>
      </c>
    </row>
    <row r="465" spans="1:17" ht="16.5" x14ac:dyDescent="0.5">
      <c r="A465" t="s">
        <v>1170</v>
      </c>
      <c r="B465" t="s">
        <v>1171</v>
      </c>
      <c r="C465" t="s">
        <v>115</v>
      </c>
      <c r="D465" t="s">
        <v>78</v>
      </c>
      <c r="E465" t="s">
        <v>43</v>
      </c>
      <c r="F465" s="1">
        <v>46365</v>
      </c>
      <c r="G465" s="1">
        <v>46387</v>
      </c>
      <c r="H465" s="1"/>
      <c r="I465" s="1"/>
      <c r="J465" s="2">
        <v>50000</v>
      </c>
      <c r="K465" s="2">
        <v>0</v>
      </c>
      <c r="L465" s="2">
        <v>47399.55</v>
      </c>
      <c r="M465">
        <v>543</v>
      </c>
      <c r="N465">
        <v>0</v>
      </c>
      <c r="O465" t="s">
        <v>26</v>
      </c>
      <c r="P465" s="2">
        <f>Tabela1[[#This Row],[orcamento_aprovado]]-Tabela1[[#This Row],[custo_real_acumulado]]</f>
        <v>50000</v>
      </c>
      <c r="Q465" t="str">
        <f>IF(Tabela1[[#This Row],[data_fim_real]]="","",Tabela1[[#This Row],[data_fim_real]]-Tabela1[[#This Row],[data_inicio_real]])</f>
        <v/>
      </c>
    </row>
    <row r="466" spans="1:17" ht="16.5" x14ac:dyDescent="0.5">
      <c r="A466" t="s">
        <v>1172</v>
      </c>
      <c r="B466" t="s">
        <v>1173</v>
      </c>
      <c r="C466" t="s">
        <v>361</v>
      </c>
      <c r="D466" t="s">
        <v>25</v>
      </c>
      <c r="E466" t="s">
        <v>20</v>
      </c>
      <c r="F466" s="1">
        <v>46230</v>
      </c>
      <c r="G466" s="1">
        <v>46328</v>
      </c>
      <c r="H466" s="1">
        <v>46246</v>
      </c>
      <c r="I466" s="1">
        <v>46387</v>
      </c>
      <c r="J466" s="2">
        <v>73832.929999999993</v>
      </c>
      <c r="K466" s="2">
        <v>82021.42</v>
      </c>
      <c r="L466" s="2">
        <v>124153.71</v>
      </c>
      <c r="M466">
        <v>2885</v>
      </c>
      <c r="N466">
        <v>2332</v>
      </c>
      <c r="O466" t="s">
        <v>34</v>
      </c>
      <c r="P466" s="2">
        <f>Tabela1[[#This Row],[orcamento_aprovado]]-Tabela1[[#This Row],[custo_real_acumulado]]</f>
        <v>-8188.4900000000052</v>
      </c>
      <c r="Q466">
        <f>IF(Tabela1[[#This Row],[data_fim_real]]="","",Tabela1[[#This Row],[data_fim_real]]-Tabela1[[#This Row],[data_inicio_real]])</f>
        <v>141</v>
      </c>
    </row>
    <row r="467" spans="1:17" ht="16.5" x14ac:dyDescent="0.5">
      <c r="A467" t="s">
        <v>1174</v>
      </c>
      <c r="B467" t="s">
        <v>1175</v>
      </c>
      <c r="C467" t="s">
        <v>1148</v>
      </c>
      <c r="D467" t="s">
        <v>18</v>
      </c>
      <c r="E467" t="s">
        <v>42</v>
      </c>
      <c r="F467" s="1">
        <v>46115</v>
      </c>
      <c r="G467" s="1">
        <v>46205</v>
      </c>
      <c r="H467" s="1">
        <v>46116</v>
      </c>
      <c r="I467" s="1"/>
      <c r="J467" s="2">
        <v>106287.34</v>
      </c>
      <c r="K467" s="2">
        <v>32358.880000000001</v>
      </c>
      <c r="L467" s="2">
        <v>214837.91</v>
      </c>
      <c r="M467">
        <v>2738</v>
      </c>
      <c r="N467">
        <v>1032</v>
      </c>
      <c r="O467" t="s">
        <v>21</v>
      </c>
      <c r="P467" s="2">
        <f>Tabela1[[#This Row],[orcamento_aprovado]]-Tabela1[[#This Row],[custo_real_acumulado]]</f>
        <v>73928.459999999992</v>
      </c>
      <c r="Q467" t="str">
        <f>IF(Tabela1[[#This Row],[data_fim_real]]="","",Tabela1[[#This Row],[data_fim_real]]-Tabela1[[#This Row],[data_inicio_real]])</f>
        <v/>
      </c>
    </row>
    <row r="468" spans="1:17" ht="16.5" x14ac:dyDescent="0.5">
      <c r="A468" t="s">
        <v>1176</v>
      </c>
      <c r="B468" t="s">
        <v>1177</v>
      </c>
      <c r="C468" t="s">
        <v>182</v>
      </c>
      <c r="D468" t="s">
        <v>78</v>
      </c>
      <c r="E468" t="s">
        <v>42</v>
      </c>
      <c r="F468" s="1">
        <v>46150</v>
      </c>
      <c r="G468" s="1">
        <v>46284</v>
      </c>
      <c r="H468" s="1">
        <v>46160</v>
      </c>
      <c r="I468" s="1">
        <v>46193</v>
      </c>
      <c r="J468" s="2">
        <v>71935.11</v>
      </c>
      <c r="K468" s="2">
        <v>0</v>
      </c>
      <c r="L468" s="2">
        <v>43214.58</v>
      </c>
      <c r="M468">
        <v>5117</v>
      </c>
      <c r="N468">
        <v>0</v>
      </c>
      <c r="O468" t="s">
        <v>26</v>
      </c>
      <c r="P468" s="2">
        <f>Tabela1[[#This Row],[orcamento_aprovado]]-Tabela1[[#This Row],[custo_real_acumulado]]</f>
        <v>71935.11</v>
      </c>
      <c r="Q468">
        <f>IF(Tabela1[[#This Row],[data_fim_real]]="","",Tabela1[[#This Row],[data_fim_real]]-Tabela1[[#This Row],[data_inicio_real]])</f>
        <v>33</v>
      </c>
    </row>
    <row r="469" spans="1:17" ht="16.5" x14ac:dyDescent="0.5">
      <c r="A469" t="s">
        <v>1178</v>
      </c>
      <c r="B469" t="s">
        <v>1179</v>
      </c>
      <c r="C469" t="s">
        <v>630</v>
      </c>
      <c r="D469" t="s">
        <v>142</v>
      </c>
      <c r="E469" t="s">
        <v>20</v>
      </c>
      <c r="F469" s="1">
        <v>46305</v>
      </c>
      <c r="G469" s="1">
        <v>46387</v>
      </c>
      <c r="H469" s="1">
        <v>46306</v>
      </c>
      <c r="I469" s="1"/>
      <c r="J469" s="2">
        <v>134566.51</v>
      </c>
      <c r="K469" s="2">
        <v>117007.18</v>
      </c>
      <c r="L469" s="2">
        <v>43857.34</v>
      </c>
      <c r="M469">
        <v>2142</v>
      </c>
      <c r="N469">
        <v>1587</v>
      </c>
      <c r="O469" t="s">
        <v>34</v>
      </c>
      <c r="P469" s="2">
        <f>Tabela1[[#This Row],[orcamento_aprovado]]-Tabela1[[#This Row],[custo_real_acumulado]]</f>
        <v>17559.330000000016</v>
      </c>
      <c r="Q469" t="str">
        <f>IF(Tabela1[[#This Row],[data_fim_real]]="","",Tabela1[[#This Row],[data_fim_real]]-Tabela1[[#This Row],[data_inicio_real]])</f>
        <v/>
      </c>
    </row>
    <row r="470" spans="1:17" ht="16.5" x14ac:dyDescent="0.5">
      <c r="A470" t="s">
        <v>1180</v>
      </c>
      <c r="B470" t="s">
        <v>1181</v>
      </c>
      <c r="C470" t="s">
        <v>86</v>
      </c>
      <c r="D470" t="s">
        <v>71</v>
      </c>
      <c r="E470" t="s">
        <v>42</v>
      </c>
      <c r="F470" s="1">
        <v>46127</v>
      </c>
      <c r="G470" s="1">
        <v>46191</v>
      </c>
      <c r="H470" s="1">
        <v>46127</v>
      </c>
      <c r="I470" s="1">
        <v>46186</v>
      </c>
      <c r="J470" s="2">
        <v>50000</v>
      </c>
      <c r="K470" s="2">
        <v>49656.82</v>
      </c>
      <c r="L470" s="2">
        <v>15802.89</v>
      </c>
      <c r="M470">
        <v>1193</v>
      </c>
      <c r="N470">
        <v>1173</v>
      </c>
      <c r="O470" t="s">
        <v>21</v>
      </c>
      <c r="P470" s="2">
        <f>Tabela1[[#This Row],[orcamento_aprovado]]-Tabela1[[#This Row],[custo_real_acumulado]]</f>
        <v>343.18000000000029</v>
      </c>
      <c r="Q470">
        <f>IF(Tabela1[[#This Row],[data_fim_real]]="","",Tabela1[[#This Row],[data_fim_real]]-Tabela1[[#This Row],[data_inicio_real]])</f>
        <v>59</v>
      </c>
    </row>
    <row r="471" spans="1:17" ht="16.5" x14ac:dyDescent="0.5">
      <c r="A471" t="s">
        <v>1182</v>
      </c>
      <c r="B471" t="s">
        <v>1183</v>
      </c>
      <c r="C471" t="s">
        <v>240</v>
      </c>
      <c r="D471" t="s">
        <v>38</v>
      </c>
      <c r="E471" t="s">
        <v>20</v>
      </c>
      <c r="F471" s="1">
        <v>46079</v>
      </c>
      <c r="G471" s="1">
        <v>46188</v>
      </c>
      <c r="H471" s="1"/>
      <c r="I471" s="1"/>
      <c r="J471" s="2">
        <v>109175.2</v>
      </c>
      <c r="K471" s="2">
        <v>0</v>
      </c>
      <c r="L471" s="2">
        <v>203396.79</v>
      </c>
      <c r="M471">
        <v>2623</v>
      </c>
      <c r="N471">
        <v>0</v>
      </c>
      <c r="O471" t="s">
        <v>26</v>
      </c>
      <c r="P471" s="2">
        <f>Tabela1[[#This Row],[orcamento_aprovado]]-Tabela1[[#This Row],[custo_real_acumulado]]</f>
        <v>109175.2</v>
      </c>
      <c r="Q471" t="str">
        <f>IF(Tabela1[[#This Row],[data_fim_real]]="","",Tabela1[[#This Row],[data_fim_real]]-Tabela1[[#This Row],[data_inicio_real]])</f>
        <v/>
      </c>
    </row>
    <row r="472" spans="1:17" ht="16.5" x14ac:dyDescent="0.5">
      <c r="A472" t="s">
        <v>1184</v>
      </c>
      <c r="B472" t="s">
        <v>1185</v>
      </c>
      <c r="C472" t="s">
        <v>450</v>
      </c>
      <c r="D472" t="s">
        <v>142</v>
      </c>
      <c r="E472" t="s">
        <v>43</v>
      </c>
      <c r="F472" s="1">
        <v>46112</v>
      </c>
      <c r="G472" s="1">
        <v>46177</v>
      </c>
      <c r="H472" s="1">
        <v>46128</v>
      </c>
      <c r="I472" s="1"/>
      <c r="J472" s="2">
        <v>96199.41</v>
      </c>
      <c r="K472" s="2">
        <v>91508.3</v>
      </c>
      <c r="L472" s="2">
        <v>75961.14</v>
      </c>
      <c r="M472">
        <v>856</v>
      </c>
      <c r="N472">
        <v>861</v>
      </c>
      <c r="O472" t="s">
        <v>34</v>
      </c>
      <c r="P472" s="2">
        <f>Tabela1[[#This Row],[orcamento_aprovado]]-Tabela1[[#This Row],[custo_real_acumulado]]</f>
        <v>4691.1100000000006</v>
      </c>
      <c r="Q472" t="str">
        <f>IF(Tabela1[[#This Row],[data_fim_real]]="","",Tabela1[[#This Row],[data_fim_real]]-Tabela1[[#This Row],[data_inicio_real]])</f>
        <v/>
      </c>
    </row>
    <row r="473" spans="1:17" ht="16.5" x14ac:dyDescent="0.5">
      <c r="A473" t="s">
        <v>1186</v>
      </c>
      <c r="B473" t="s">
        <v>1187</v>
      </c>
      <c r="C473" t="s">
        <v>49</v>
      </c>
      <c r="D473" t="s">
        <v>33</v>
      </c>
      <c r="E473" t="s">
        <v>20</v>
      </c>
      <c r="F473" s="1">
        <v>46327</v>
      </c>
      <c r="G473" s="1">
        <v>46387</v>
      </c>
      <c r="H473" s="1">
        <v>46327</v>
      </c>
      <c r="I473" s="1"/>
      <c r="J473" s="2">
        <v>50000</v>
      </c>
      <c r="K473" s="2">
        <v>33663.29</v>
      </c>
      <c r="L473" s="2">
        <v>66061.91</v>
      </c>
      <c r="M473">
        <v>1113</v>
      </c>
      <c r="N473">
        <v>543</v>
      </c>
      <c r="O473" t="s">
        <v>21</v>
      </c>
      <c r="P473" s="2">
        <f>Tabela1[[#This Row],[orcamento_aprovado]]-Tabela1[[#This Row],[custo_real_acumulado]]</f>
        <v>16336.71</v>
      </c>
      <c r="Q473" t="str">
        <f>IF(Tabela1[[#This Row],[data_fim_real]]="","",Tabela1[[#This Row],[data_fim_real]]-Tabela1[[#This Row],[data_inicio_real]])</f>
        <v/>
      </c>
    </row>
    <row r="474" spans="1:17" ht="16.5" x14ac:dyDescent="0.5">
      <c r="A474" t="s">
        <v>1188</v>
      </c>
      <c r="B474" t="s">
        <v>1189</v>
      </c>
      <c r="C474" t="s">
        <v>86</v>
      </c>
      <c r="D474" t="s">
        <v>78</v>
      </c>
      <c r="E474" t="s">
        <v>42</v>
      </c>
      <c r="F474" s="1">
        <v>46334</v>
      </c>
      <c r="G474" s="1">
        <v>46387</v>
      </c>
      <c r="H474" s="1">
        <v>46333</v>
      </c>
      <c r="I474" s="1"/>
      <c r="J474" s="2">
        <v>146723.31</v>
      </c>
      <c r="K474" s="2">
        <v>86159.07</v>
      </c>
      <c r="L474" s="2">
        <v>258464.27</v>
      </c>
      <c r="M474">
        <v>902</v>
      </c>
      <c r="N474">
        <v>545</v>
      </c>
      <c r="O474" t="s">
        <v>26</v>
      </c>
      <c r="P474" s="2">
        <f>Tabela1[[#This Row],[orcamento_aprovado]]-Tabela1[[#This Row],[custo_real_acumulado]]</f>
        <v>60564.239999999991</v>
      </c>
      <c r="Q474" t="str">
        <f>IF(Tabela1[[#This Row],[data_fim_real]]="","",Tabela1[[#This Row],[data_fim_real]]-Tabela1[[#This Row],[data_inicio_real]])</f>
        <v/>
      </c>
    </row>
    <row r="475" spans="1:17" ht="16.5" x14ac:dyDescent="0.5">
      <c r="A475" t="s">
        <v>1190</v>
      </c>
      <c r="B475" t="s">
        <v>1191</v>
      </c>
      <c r="C475" t="s">
        <v>17</v>
      </c>
      <c r="D475" t="s">
        <v>18</v>
      </c>
      <c r="E475" t="s">
        <v>43</v>
      </c>
      <c r="F475" s="1">
        <v>46145</v>
      </c>
      <c r="G475" s="1">
        <v>46159</v>
      </c>
      <c r="H475" s="1"/>
      <c r="I475" s="1"/>
      <c r="J475" s="2">
        <v>71545.850000000006</v>
      </c>
      <c r="K475" s="2">
        <v>0</v>
      </c>
      <c r="L475" s="2">
        <v>143978.32999999999</v>
      </c>
      <c r="M475">
        <v>667</v>
      </c>
      <c r="N475">
        <v>0</v>
      </c>
      <c r="O475" t="s">
        <v>34</v>
      </c>
      <c r="P475" s="2">
        <f>Tabela1[[#This Row],[orcamento_aprovado]]-Tabela1[[#This Row],[custo_real_acumulado]]</f>
        <v>71545.850000000006</v>
      </c>
      <c r="Q475" t="str">
        <f>IF(Tabela1[[#This Row],[data_fim_real]]="","",Tabela1[[#This Row],[data_fim_real]]-Tabela1[[#This Row],[data_inicio_real]])</f>
        <v/>
      </c>
    </row>
    <row r="476" spans="1:17" ht="16.5" x14ac:dyDescent="0.5">
      <c r="A476" t="s">
        <v>1192</v>
      </c>
      <c r="B476" t="s">
        <v>1193</v>
      </c>
      <c r="C476" t="s">
        <v>619</v>
      </c>
      <c r="D476" t="s">
        <v>71</v>
      </c>
      <c r="E476" t="s">
        <v>43</v>
      </c>
      <c r="F476" s="1">
        <v>46240</v>
      </c>
      <c r="G476" s="1">
        <v>46320</v>
      </c>
      <c r="H476" s="1">
        <v>46237</v>
      </c>
      <c r="I476" s="1">
        <v>46364</v>
      </c>
      <c r="J476" s="2">
        <v>131474.12</v>
      </c>
      <c r="K476" s="2">
        <v>155485.18</v>
      </c>
      <c r="L476" s="2">
        <v>76989.95</v>
      </c>
      <c r="M476">
        <v>2489</v>
      </c>
      <c r="N476">
        <v>2970</v>
      </c>
      <c r="O476" t="s">
        <v>21</v>
      </c>
      <c r="P476" s="2">
        <f>Tabela1[[#This Row],[orcamento_aprovado]]-Tabela1[[#This Row],[custo_real_acumulado]]</f>
        <v>-24011.059999999998</v>
      </c>
      <c r="Q476">
        <f>IF(Tabela1[[#This Row],[data_fim_real]]="","",Tabela1[[#This Row],[data_fim_real]]-Tabela1[[#This Row],[data_inicio_real]])</f>
        <v>127</v>
      </c>
    </row>
    <row r="477" spans="1:17" ht="16.5" x14ac:dyDescent="0.5">
      <c r="A477" t="s">
        <v>1194</v>
      </c>
      <c r="B477" t="s">
        <v>1195</v>
      </c>
      <c r="C477" t="s">
        <v>29</v>
      </c>
      <c r="D477" t="s">
        <v>58</v>
      </c>
      <c r="E477" t="s">
        <v>20</v>
      </c>
      <c r="F477" s="1">
        <v>46276</v>
      </c>
      <c r="G477" s="1">
        <v>46314</v>
      </c>
      <c r="H477" s="1">
        <v>46283</v>
      </c>
      <c r="I477" s="1"/>
      <c r="J477" s="2">
        <v>204601.99</v>
      </c>
      <c r="K477" s="2">
        <v>93247.33</v>
      </c>
      <c r="L477" s="2">
        <v>355841.98</v>
      </c>
      <c r="M477">
        <v>1305</v>
      </c>
      <c r="N477">
        <v>726</v>
      </c>
      <c r="O477" t="s">
        <v>26</v>
      </c>
      <c r="P477" s="2">
        <f>Tabela1[[#This Row],[orcamento_aprovado]]-Tabela1[[#This Row],[custo_real_acumulado]]</f>
        <v>111354.65999999999</v>
      </c>
      <c r="Q477" t="str">
        <f>IF(Tabela1[[#This Row],[data_fim_real]]="","",Tabela1[[#This Row],[data_fim_real]]-Tabela1[[#This Row],[data_inicio_real]])</f>
        <v/>
      </c>
    </row>
    <row r="478" spans="1:17" ht="16.5" x14ac:dyDescent="0.5">
      <c r="A478" t="s">
        <v>1196</v>
      </c>
      <c r="B478" t="s">
        <v>1197</v>
      </c>
      <c r="C478" t="s">
        <v>255</v>
      </c>
      <c r="D478" t="s">
        <v>142</v>
      </c>
      <c r="E478" t="s">
        <v>20</v>
      </c>
      <c r="F478" s="1">
        <v>46041</v>
      </c>
      <c r="G478" s="1">
        <v>46107</v>
      </c>
      <c r="H478" s="1">
        <v>46058</v>
      </c>
      <c r="I478" s="1">
        <v>46141</v>
      </c>
      <c r="J478" s="2">
        <v>139942.73000000001</v>
      </c>
      <c r="K478" s="2">
        <v>155603.76</v>
      </c>
      <c r="L478" s="2">
        <v>102719.24</v>
      </c>
      <c r="M478">
        <v>1276</v>
      </c>
      <c r="N478">
        <v>1484</v>
      </c>
      <c r="O478" t="s">
        <v>34</v>
      </c>
      <c r="P478" s="2">
        <f>Tabela1[[#This Row],[orcamento_aprovado]]-Tabela1[[#This Row],[custo_real_acumulado]]</f>
        <v>-15661.029999999999</v>
      </c>
      <c r="Q478">
        <f>IF(Tabela1[[#This Row],[data_fim_real]]="","",Tabela1[[#This Row],[data_fim_real]]-Tabela1[[#This Row],[data_inicio_real]])</f>
        <v>83</v>
      </c>
    </row>
    <row r="479" spans="1:17" ht="16.5" x14ac:dyDescent="0.5">
      <c r="A479" t="s">
        <v>1198</v>
      </c>
      <c r="B479" t="s">
        <v>1199</v>
      </c>
      <c r="C479" t="s">
        <v>364</v>
      </c>
      <c r="D479" t="s">
        <v>38</v>
      </c>
      <c r="E479" t="s">
        <v>20</v>
      </c>
      <c r="F479" s="1">
        <v>46101</v>
      </c>
      <c r="G479" s="1">
        <v>46186</v>
      </c>
      <c r="H479" s="1">
        <v>46099</v>
      </c>
      <c r="I479" s="1"/>
      <c r="J479" s="2">
        <v>124050.59</v>
      </c>
      <c r="K479" s="2">
        <v>58976.29</v>
      </c>
      <c r="L479" s="2">
        <v>122943.87</v>
      </c>
      <c r="M479">
        <v>4123</v>
      </c>
      <c r="N479">
        <v>1429</v>
      </c>
      <c r="O479" t="s">
        <v>21</v>
      </c>
      <c r="P479" s="2">
        <f>Tabela1[[#This Row],[orcamento_aprovado]]-Tabela1[[#This Row],[custo_real_acumulado]]</f>
        <v>65074.299999999996</v>
      </c>
      <c r="Q479" t="str">
        <f>IF(Tabela1[[#This Row],[data_fim_real]]="","",Tabela1[[#This Row],[data_fim_real]]-Tabela1[[#This Row],[data_inicio_real]])</f>
        <v/>
      </c>
    </row>
    <row r="480" spans="1:17" ht="16.5" x14ac:dyDescent="0.5">
      <c r="A480" t="s">
        <v>1200</v>
      </c>
      <c r="B480" t="s">
        <v>1201</v>
      </c>
      <c r="C480" t="s">
        <v>949</v>
      </c>
      <c r="D480" t="s">
        <v>78</v>
      </c>
      <c r="E480" t="s">
        <v>42</v>
      </c>
      <c r="F480" s="1">
        <v>46245</v>
      </c>
      <c r="G480" s="1">
        <v>46358</v>
      </c>
      <c r="H480" s="1">
        <v>46255</v>
      </c>
      <c r="I480" s="1"/>
      <c r="J480" s="2">
        <v>64656.41</v>
      </c>
      <c r="K480" s="2">
        <v>63421.72</v>
      </c>
      <c r="L480" s="2">
        <v>80558.75</v>
      </c>
      <c r="M480">
        <v>1688</v>
      </c>
      <c r="N480">
        <v>1429</v>
      </c>
      <c r="O480" t="s">
        <v>26</v>
      </c>
      <c r="P480" s="2">
        <f>Tabela1[[#This Row],[orcamento_aprovado]]-Tabela1[[#This Row],[custo_real_acumulado]]</f>
        <v>1234.6900000000023</v>
      </c>
      <c r="Q480" t="str">
        <f>IF(Tabela1[[#This Row],[data_fim_real]]="","",Tabela1[[#This Row],[data_fim_real]]-Tabela1[[#This Row],[data_inicio_real]])</f>
        <v/>
      </c>
    </row>
    <row r="481" spans="1:17" ht="16.5" x14ac:dyDescent="0.5">
      <c r="A481" t="s">
        <v>1202</v>
      </c>
      <c r="B481" t="s">
        <v>1203</v>
      </c>
      <c r="C481" t="s">
        <v>888</v>
      </c>
      <c r="D481" t="s">
        <v>78</v>
      </c>
      <c r="E481" t="s">
        <v>43</v>
      </c>
      <c r="F481" s="1">
        <v>46189</v>
      </c>
      <c r="G481" s="1">
        <v>46312</v>
      </c>
      <c r="H481" s="1">
        <v>46193</v>
      </c>
      <c r="I481" s="1"/>
      <c r="J481" s="2">
        <v>50000</v>
      </c>
      <c r="K481" s="2">
        <v>24667.68</v>
      </c>
      <c r="L481" s="2">
        <v>24402.02</v>
      </c>
      <c r="M481">
        <v>3980</v>
      </c>
      <c r="N481">
        <v>2296</v>
      </c>
      <c r="O481" t="s">
        <v>34</v>
      </c>
      <c r="P481" s="2">
        <f>Tabela1[[#This Row],[orcamento_aprovado]]-Tabela1[[#This Row],[custo_real_acumulado]]</f>
        <v>25332.32</v>
      </c>
      <c r="Q481" t="str">
        <f>IF(Tabela1[[#This Row],[data_fim_real]]="","",Tabela1[[#This Row],[data_fim_real]]-Tabela1[[#This Row],[data_inicio_real]])</f>
        <v/>
      </c>
    </row>
    <row r="482" spans="1:17" ht="16.5" x14ac:dyDescent="0.5">
      <c r="A482" t="s">
        <v>1204</v>
      </c>
      <c r="B482" t="s">
        <v>1205</v>
      </c>
      <c r="C482" t="s">
        <v>974</v>
      </c>
      <c r="D482" t="s">
        <v>33</v>
      </c>
      <c r="E482" t="s">
        <v>42</v>
      </c>
      <c r="F482" s="1">
        <v>46271</v>
      </c>
      <c r="G482" s="1">
        <v>46340</v>
      </c>
      <c r="H482" s="1">
        <v>46272</v>
      </c>
      <c r="I482" s="1"/>
      <c r="J482" s="2">
        <v>104876.51</v>
      </c>
      <c r="K482" s="2">
        <v>67519.679999999993</v>
      </c>
      <c r="L482" s="2">
        <v>98478.43</v>
      </c>
      <c r="M482">
        <v>1449</v>
      </c>
      <c r="N482">
        <v>781</v>
      </c>
      <c r="O482" t="s">
        <v>21</v>
      </c>
      <c r="P482" s="2">
        <f>Tabela1[[#This Row],[orcamento_aprovado]]-Tabela1[[#This Row],[custo_real_acumulado]]</f>
        <v>37356.83</v>
      </c>
      <c r="Q482" t="str">
        <f>IF(Tabela1[[#This Row],[data_fim_real]]="","",Tabela1[[#This Row],[data_fim_real]]-Tabela1[[#This Row],[data_inicio_real]])</f>
        <v/>
      </c>
    </row>
    <row r="483" spans="1:17" ht="16.5" x14ac:dyDescent="0.5">
      <c r="A483" t="s">
        <v>1206</v>
      </c>
      <c r="B483" t="s">
        <v>1207</v>
      </c>
      <c r="C483" t="s">
        <v>546</v>
      </c>
      <c r="D483" t="s">
        <v>58</v>
      </c>
      <c r="E483" t="s">
        <v>19</v>
      </c>
      <c r="F483" s="1">
        <v>46115</v>
      </c>
      <c r="G483" s="1">
        <v>46129</v>
      </c>
      <c r="H483" s="1">
        <v>46137</v>
      </c>
      <c r="I483" s="1"/>
      <c r="J483" s="2">
        <v>62278.89</v>
      </c>
      <c r="K483" s="2">
        <v>63721.2</v>
      </c>
      <c r="L483" s="2">
        <v>48261.29</v>
      </c>
      <c r="M483">
        <v>237</v>
      </c>
      <c r="N483">
        <v>231</v>
      </c>
      <c r="O483" t="s">
        <v>26</v>
      </c>
      <c r="P483" s="2">
        <f>Tabela1[[#This Row],[orcamento_aprovado]]-Tabela1[[#This Row],[custo_real_acumulado]]</f>
        <v>-1442.3099999999977</v>
      </c>
      <c r="Q483" t="str">
        <f>IF(Tabela1[[#This Row],[data_fim_real]]="","",Tabela1[[#This Row],[data_fim_real]]-Tabela1[[#This Row],[data_inicio_real]])</f>
        <v/>
      </c>
    </row>
    <row r="484" spans="1:17" ht="16.5" x14ac:dyDescent="0.5">
      <c r="A484" t="s">
        <v>1208</v>
      </c>
      <c r="B484" t="s">
        <v>1209</v>
      </c>
      <c r="C484" t="s">
        <v>934</v>
      </c>
      <c r="D484" t="s">
        <v>142</v>
      </c>
      <c r="E484" t="s">
        <v>43</v>
      </c>
      <c r="F484" s="1">
        <v>46195</v>
      </c>
      <c r="G484" s="1">
        <v>46283</v>
      </c>
      <c r="H484" s="1">
        <v>46199</v>
      </c>
      <c r="I484" s="1"/>
      <c r="J484" s="2">
        <v>50000</v>
      </c>
      <c r="K484" s="2">
        <v>60781.14</v>
      </c>
      <c r="L484" s="2">
        <v>101005.57</v>
      </c>
      <c r="M484">
        <v>2997</v>
      </c>
      <c r="N484">
        <v>2931</v>
      </c>
      <c r="O484" t="s">
        <v>34</v>
      </c>
      <c r="P484" s="2">
        <f>Tabela1[[#This Row],[orcamento_aprovado]]-Tabela1[[#This Row],[custo_real_acumulado]]</f>
        <v>-10781.14</v>
      </c>
      <c r="Q484" t="str">
        <f>IF(Tabela1[[#This Row],[data_fim_real]]="","",Tabela1[[#This Row],[data_fim_real]]-Tabela1[[#This Row],[data_inicio_real]])</f>
        <v/>
      </c>
    </row>
    <row r="485" spans="1:17" ht="16.5" x14ac:dyDescent="0.5">
      <c r="A485" t="s">
        <v>1210</v>
      </c>
      <c r="B485" t="s">
        <v>1211</v>
      </c>
      <c r="C485" t="s">
        <v>1212</v>
      </c>
      <c r="D485" t="s">
        <v>54</v>
      </c>
      <c r="E485" t="s">
        <v>20</v>
      </c>
      <c r="F485" s="1">
        <v>46166</v>
      </c>
      <c r="G485" s="1">
        <v>46270</v>
      </c>
      <c r="H485" s="1">
        <v>46176</v>
      </c>
      <c r="I485" s="1"/>
      <c r="J485" s="2">
        <v>98415.81</v>
      </c>
      <c r="K485" s="2">
        <v>7319.17</v>
      </c>
      <c r="L485" s="2">
        <v>105861.09</v>
      </c>
      <c r="M485">
        <v>1051</v>
      </c>
      <c r="N485">
        <v>66</v>
      </c>
      <c r="O485" t="s">
        <v>21</v>
      </c>
      <c r="P485" s="2">
        <f>Tabela1[[#This Row],[orcamento_aprovado]]-Tabela1[[#This Row],[custo_real_acumulado]]</f>
        <v>91096.639999999999</v>
      </c>
      <c r="Q485" t="str">
        <f>IF(Tabela1[[#This Row],[data_fim_real]]="","",Tabela1[[#This Row],[data_fim_real]]-Tabela1[[#This Row],[data_inicio_real]])</f>
        <v/>
      </c>
    </row>
    <row r="486" spans="1:17" ht="16.5" x14ac:dyDescent="0.5">
      <c r="A486" t="s">
        <v>1213</v>
      </c>
      <c r="B486" t="s">
        <v>1214</v>
      </c>
      <c r="C486" t="s">
        <v>697</v>
      </c>
      <c r="D486" t="s">
        <v>33</v>
      </c>
      <c r="E486" t="s">
        <v>19</v>
      </c>
      <c r="F486" s="1">
        <v>46213</v>
      </c>
      <c r="G486" s="1">
        <v>46299</v>
      </c>
      <c r="H486" s="1">
        <v>46208</v>
      </c>
      <c r="I486" s="1"/>
      <c r="J486" s="2">
        <v>147770.64000000001</v>
      </c>
      <c r="K486" s="2">
        <v>56040.56</v>
      </c>
      <c r="L486" s="2">
        <v>149226.29</v>
      </c>
      <c r="M486">
        <v>2379</v>
      </c>
      <c r="N486">
        <v>931</v>
      </c>
      <c r="O486" t="s">
        <v>26</v>
      </c>
      <c r="P486" s="2">
        <f>Tabela1[[#This Row],[orcamento_aprovado]]-Tabela1[[#This Row],[custo_real_acumulado]]</f>
        <v>91730.080000000016</v>
      </c>
      <c r="Q486" t="str">
        <f>IF(Tabela1[[#This Row],[data_fim_real]]="","",Tabela1[[#This Row],[data_fim_real]]-Tabela1[[#This Row],[data_inicio_real]])</f>
        <v/>
      </c>
    </row>
    <row r="487" spans="1:17" ht="16.5" x14ac:dyDescent="0.5">
      <c r="A487" t="s">
        <v>1215</v>
      </c>
      <c r="B487" t="s">
        <v>1216</v>
      </c>
      <c r="C487" t="s">
        <v>1069</v>
      </c>
      <c r="D487" t="s">
        <v>71</v>
      </c>
      <c r="E487" t="s">
        <v>20</v>
      </c>
      <c r="F487" s="1">
        <v>46126</v>
      </c>
      <c r="G487" s="1">
        <v>46218</v>
      </c>
      <c r="H487" s="1">
        <v>46127</v>
      </c>
      <c r="I487" s="1"/>
      <c r="J487" s="2">
        <v>153047.10999999999</v>
      </c>
      <c r="K487" s="2">
        <v>71311.009999999995</v>
      </c>
      <c r="L487" s="2">
        <v>285467.03999999998</v>
      </c>
      <c r="M487">
        <v>2974</v>
      </c>
      <c r="N487">
        <v>1240</v>
      </c>
      <c r="O487" t="s">
        <v>34</v>
      </c>
      <c r="P487" s="2">
        <f>Tabela1[[#This Row],[orcamento_aprovado]]-Tabela1[[#This Row],[custo_real_acumulado]]</f>
        <v>81736.099999999991</v>
      </c>
      <c r="Q487" t="str">
        <f>IF(Tabela1[[#This Row],[data_fim_real]]="","",Tabela1[[#This Row],[data_fim_real]]-Tabela1[[#This Row],[data_inicio_real]])</f>
        <v/>
      </c>
    </row>
    <row r="488" spans="1:17" ht="16.5" x14ac:dyDescent="0.5">
      <c r="A488" t="s">
        <v>1217</v>
      </c>
      <c r="B488" t="s">
        <v>1218</v>
      </c>
      <c r="C488" t="s">
        <v>185</v>
      </c>
      <c r="D488" t="s">
        <v>18</v>
      </c>
      <c r="E488" t="s">
        <v>43</v>
      </c>
      <c r="F488" s="1">
        <v>46329</v>
      </c>
      <c r="G488" s="1">
        <v>46381</v>
      </c>
      <c r="H488" s="1">
        <v>46309</v>
      </c>
      <c r="I488" s="1"/>
      <c r="J488" s="2">
        <v>50000</v>
      </c>
      <c r="K488" s="2">
        <v>5225.4399999999996</v>
      </c>
      <c r="L488" s="2">
        <v>56440.37</v>
      </c>
      <c r="M488">
        <v>1220</v>
      </c>
      <c r="N488">
        <v>119</v>
      </c>
      <c r="O488" t="s">
        <v>21</v>
      </c>
      <c r="P488" s="2">
        <f>Tabela1[[#This Row],[orcamento_aprovado]]-Tabela1[[#This Row],[custo_real_acumulado]]</f>
        <v>44774.559999999998</v>
      </c>
      <c r="Q488" t="str">
        <f>IF(Tabela1[[#This Row],[data_fim_real]]="","",Tabela1[[#This Row],[data_fim_real]]-Tabela1[[#This Row],[data_inicio_real]])</f>
        <v/>
      </c>
    </row>
    <row r="489" spans="1:17" ht="16.5" x14ac:dyDescent="0.5">
      <c r="A489" t="s">
        <v>1219</v>
      </c>
      <c r="B489" t="s">
        <v>1220</v>
      </c>
      <c r="C489" t="s">
        <v>318</v>
      </c>
      <c r="D489" t="s">
        <v>18</v>
      </c>
      <c r="E489" t="s">
        <v>43</v>
      </c>
      <c r="F489" s="1">
        <v>46333</v>
      </c>
      <c r="G489" s="1">
        <v>46387</v>
      </c>
      <c r="H489" s="1">
        <v>46331</v>
      </c>
      <c r="I489" s="1"/>
      <c r="J489" s="2">
        <v>177828.89</v>
      </c>
      <c r="K489" s="2">
        <v>88552.320000000007</v>
      </c>
      <c r="L489" s="2">
        <v>186805.96</v>
      </c>
      <c r="M489">
        <v>291</v>
      </c>
      <c r="N489">
        <v>128</v>
      </c>
      <c r="O489" t="s">
        <v>26</v>
      </c>
      <c r="P489" s="2">
        <f>Tabela1[[#This Row],[orcamento_aprovado]]-Tabela1[[#This Row],[custo_real_acumulado]]</f>
        <v>89276.57</v>
      </c>
      <c r="Q489" t="str">
        <f>IF(Tabela1[[#This Row],[data_fim_real]]="","",Tabela1[[#This Row],[data_fim_real]]-Tabela1[[#This Row],[data_inicio_real]])</f>
        <v/>
      </c>
    </row>
    <row r="490" spans="1:17" ht="16.5" x14ac:dyDescent="0.5">
      <c r="A490" t="s">
        <v>1221</v>
      </c>
      <c r="B490" t="s">
        <v>1222</v>
      </c>
      <c r="C490" t="s">
        <v>100</v>
      </c>
      <c r="D490" t="s">
        <v>78</v>
      </c>
      <c r="E490" t="s">
        <v>43</v>
      </c>
      <c r="F490" s="1">
        <v>46296</v>
      </c>
      <c r="G490" s="1">
        <v>46387</v>
      </c>
      <c r="H490" s="1">
        <v>46297</v>
      </c>
      <c r="I490" s="1"/>
      <c r="J490" s="2">
        <v>50000</v>
      </c>
      <c r="K490" s="2">
        <v>43793.599999999999</v>
      </c>
      <c r="L490" s="2">
        <v>20560.98</v>
      </c>
      <c r="M490">
        <v>3658</v>
      </c>
      <c r="N490">
        <v>3450</v>
      </c>
      <c r="O490" t="s">
        <v>34</v>
      </c>
      <c r="P490" s="2">
        <f>Tabela1[[#This Row],[orcamento_aprovado]]-Tabela1[[#This Row],[custo_real_acumulado]]</f>
        <v>6206.4000000000015</v>
      </c>
      <c r="Q490" t="str">
        <f>IF(Tabela1[[#This Row],[data_fim_real]]="","",Tabela1[[#This Row],[data_fim_real]]-Tabela1[[#This Row],[data_inicio_real]])</f>
        <v/>
      </c>
    </row>
    <row r="491" spans="1:17" ht="16.5" x14ac:dyDescent="0.5">
      <c r="A491" t="s">
        <v>1223</v>
      </c>
      <c r="B491" t="s">
        <v>1224</v>
      </c>
      <c r="C491" t="s">
        <v>694</v>
      </c>
      <c r="D491" t="s">
        <v>33</v>
      </c>
      <c r="E491" t="s">
        <v>43</v>
      </c>
      <c r="F491" s="1">
        <v>46091</v>
      </c>
      <c r="G491" s="1">
        <v>46126</v>
      </c>
      <c r="H491" s="1">
        <v>46084</v>
      </c>
      <c r="I491" s="1">
        <v>46138</v>
      </c>
      <c r="J491" s="2">
        <v>134373.10999999999</v>
      </c>
      <c r="K491" s="2">
        <v>124568.26</v>
      </c>
      <c r="L491" s="2">
        <v>65234.87</v>
      </c>
      <c r="M491">
        <v>571</v>
      </c>
      <c r="N491">
        <v>503</v>
      </c>
      <c r="O491" t="s">
        <v>21</v>
      </c>
      <c r="P491" s="2">
        <f>Tabela1[[#This Row],[orcamento_aprovado]]-Tabela1[[#This Row],[custo_real_acumulado]]</f>
        <v>9804.8499999999913</v>
      </c>
      <c r="Q491">
        <f>IF(Tabela1[[#This Row],[data_fim_real]]="","",Tabela1[[#This Row],[data_fim_real]]-Tabela1[[#This Row],[data_inicio_real]])</f>
        <v>54</v>
      </c>
    </row>
    <row r="492" spans="1:17" ht="16.5" x14ac:dyDescent="0.5">
      <c r="A492" t="s">
        <v>1225</v>
      </c>
      <c r="B492" t="s">
        <v>1226</v>
      </c>
      <c r="C492" t="s">
        <v>1227</v>
      </c>
      <c r="D492" t="s">
        <v>25</v>
      </c>
      <c r="E492" t="s">
        <v>19</v>
      </c>
      <c r="F492" s="1">
        <v>46347</v>
      </c>
      <c r="G492" s="1">
        <v>46387</v>
      </c>
      <c r="H492" s="1">
        <v>46347</v>
      </c>
      <c r="I492" s="1">
        <v>46376</v>
      </c>
      <c r="J492" s="2">
        <v>115039.47</v>
      </c>
      <c r="K492" s="2">
        <v>123001.19</v>
      </c>
      <c r="L492" s="2">
        <v>188112.86</v>
      </c>
      <c r="M492">
        <v>1132</v>
      </c>
      <c r="N492">
        <v>1092</v>
      </c>
      <c r="O492" t="s">
        <v>26</v>
      </c>
      <c r="P492" s="2">
        <f>Tabela1[[#This Row],[orcamento_aprovado]]-Tabela1[[#This Row],[custo_real_acumulado]]</f>
        <v>-7961.7200000000012</v>
      </c>
      <c r="Q492">
        <f>IF(Tabela1[[#This Row],[data_fim_real]]="","",Tabela1[[#This Row],[data_fim_real]]-Tabela1[[#This Row],[data_inicio_real]])</f>
        <v>29</v>
      </c>
    </row>
    <row r="493" spans="1:17" ht="16.5" x14ac:dyDescent="0.5">
      <c r="A493" t="s">
        <v>1228</v>
      </c>
      <c r="B493" t="s">
        <v>1229</v>
      </c>
      <c r="C493" t="s">
        <v>1230</v>
      </c>
      <c r="D493" t="s">
        <v>54</v>
      </c>
      <c r="E493" t="s">
        <v>20</v>
      </c>
      <c r="F493" s="1">
        <v>46314</v>
      </c>
      <c r="G493" s="1">
        <v>46387</v>
      </c>
      <c r="H493" s="1">
        <v>46305</v>
      </c>
      <c r="I493" s="1"/>
      <c r="J493" s="2">
        <v>50000</v>
      </c>
      <c r="K493" s="2">
        <v>39496.68</v>
      </c>
      <c r="L493" s="2">
        <v>102538.48</v>
      </c>
      <c r="M493">
        <v>2850</v>
      </c>
      <c r="N493">
        <v>1545</v>
      </c>
      <c r="O493" t="s">
        <v>34</v>
      </c>
      <c r="P493" s="2">
        <f>Tabela1[[#This Row],[orcamento_aprovado]]-Tabela1[[#This Row],[custo_real_acumulado]]</f>
        <v>10503.32</v>
      </c>
      <c r="Q493" t="str">
        <f>IF(Tabela1[[#This Row],[data_fim_real]]="","",Tabela1[[#This Row],[data_fim_real]]-Tabela1[[#This Row],[data_inicio_real]])</f>
        <v/>
      </c>
    </row>
    <row r="494" spans="1:17" ht="16.5" x14ac:dyDescent="0.5">
      <c r="A494" t="s">
        <v>1231</v>
      </c>
      <c r="B494" t="s">
        <v>1232</v>
      </c>
      <c r="C494" t="s">
        <v>74</v>
      </c>
      <c r="D494" t="s">
        <v>58</v>
      </c>
      <c r="E494" t="s">
        <v>42</v>
      </c>
      <c r="F494" s="1">
        <v>46029</v>
      </c>
      <c r="G494" s="1">
        <v>46123</v>
      </c>
      <c r="H494" s="1">
        <v>46026</v>
      </c>
      <c r="I494" s="1"/>
      <c r="J494" s="2">
        <v>50000</v>
      </c>
      <c r="K494" s="2">
        <v>49085.95</v>
      </c>
      <c r="L494" s="2">
        <v>25256.43</v>
      </c>
      <c r="M494">
        <v>2778</v>
      </c>
      <c r="N494">
        <v>1959</v>
      </c>
      <c r="O494" t="s">
        <v>21</v>
      </c>
      <c r="P494" s="2">
        <f>Tabela1[[#This Row],[orcamento_aprovado]]-Tabela1[[#This Row],[custo_real_acumulado]]</f>
        <v>914.05000000000291</v>
      </c>
      <c r="Q494" t="str">
        <f>IF(Tabela1[[#This Row],[data_fim_real]]="","",Tabela1[[#This Row],[data_fim_real]]-Tabela1[[#This Row],[data_inicio_real]])</f>
        <v/>
      </c>
    </row>
    <row r="495" spans="1:17" ht="16.5" x14ac:dyDescent="0.5">
      <c r="A495" t="s">
        <v>1233</v>
      </c>
      <c r="B495" t="s">
        <v>1234</v>
      </c>
      <c r="C495" t="s">
        <v>395</v>
      </c>
      <c r="D495" t="s">
        <v>142</v>
      </c>
      <c r="E495" t="s">
        <v>42</v>
      </c>
      <c r="F495" s="1">
        <v>46066</v>
      </c>
      <c r="G495" s="1">
        <v>46128</v>
      </c>
      <c r="H495" s="1">
        <v>46077</v>
      </c>
      <c r="I495" s="1"/>
      <c r="J495" s="2">
        <v>123802.46</v>
      </c>
      <c r="K495" s="2">
        <v>60061.31</v>
      </c>
      <c r="L495" s="2">
        <v>157197.70000000001</v>
      </c>
      <c r="M495">
        <v>1829</v>
      </c>
      <c r="N495">
        <v>1328</v>
      </c>
      <c r="O495" t="s">
        <v>26</v>
      </c>
      <c r="P495" s="2">
        <f>Tabela1[[#This Row],[orcamento_aprovado]]-Tabela1[[#This Row],[custo_real_acumulado]]</f>
        <v>63741.150000000009</v>
      </c>
      <c r="Q495" t="str">
        <f>IF(Tabela1[[#This Row],[data_fim_real]]="","",Tabela1[[#This Row],[data_fim_real]]-Tabela1[[#This Row],[data_inicio_real]])</f>
        <v/>
      </c>
    </row>
    <row r="496" spans="1:17" ht="16.5" x14ac:dyDescent="0.5">
      <c r="A496" t="s">
        <v>1235</v>
      </c>
      <c r="B496" t="s">
        <v>1236</v>
      </c>
      <c r="C496" t="s">
        <v>587</v>
      </c>
      <c r="D496" t="s">
        <v>18</v>
      </c>
      <c r="E496" t="s">
        <v>19</v>
      </c>
      <c r="F496" s="1">
        <v>46095</v>
      </c>
      <c r="G496" s="1">
        <v>46151</v>
      </c>
      <c r="H496" s="1">
        <v>46094</v>
      </c>
      <c r="I496" s="1"/>
      <c r="J496" s="2">
        <v>50000</v>
      </c>
      <c r="K496" s="2">
        <v>16854.650000000001</v>
      </c>
      <c r="L496" s="2">
        <v>40714.089999999997</v>
      </c>
      <c r="M496">
        <v>1593</v>
      </c>
      <c r="N496">
        <v>583</v>
      </c>
      <c r="O496" t="s">
        <v>34</v>
      </c>
      <c r="P496" s="2">
        <f>Tabela1[[#This Row],[orcamento_aprovado]]-Tabela1[[#This Row],[custo_real_acumulado]]</f>
        <v>33145.35</v>
      </c>
      <c r="Q496" t="str">
        <f>IF(Tabela1[[#This Row],[data_fim_real]]="","",Tabela1[[#This Row],[data_fim_real]]-Tabela1[[#This Row],[data_inicio_real]])</f>
        <v/>
      </c>
    </row>
    <row r="497" spans="1:17" ht="16.5" x14ac:dyDescent="0.5">
      <c r="A497" t="s">
        <v>1237</v>
      </c>
      <c r="B497" t="s">
        <v>1238</v>
      </c>
      <c r="C497" t="s">
        <v>1239</v>
      </c>
      <c r="D497" t="s">
        <v>58</v>
      </c>
      <c r="E497" t="s">
        <v>42</v>
      </c>
      <c r="F497" s="1">
        <v>46207</v>
      </c>
      <c r="G497" s="1">
        <v>46243</v>
      </c>
      <c r="H497" s="1"/>
      <c r="I497" s="1"/>
      <c r="J497" s="2">
        <v>97540</v>
      </c>
      <c r="K497" s="2">
        <v>0</v>
      </c>
      <c r="L497" s="2">
        <v>67452.83</v>
      </c>
      <c r="M497">
        <v>941</v>
      </c>
      <c r="N497">
        <v>0</v>
      </c>
      <c r="O497" t="s">
        <v>21</v>
      </c>
      <c r="P497" s="2">
        <f>Tabela1[[#This Row],[orcamento_aprovado]]-Tabela1[[#This Row],[custo_real_acumulado]]</f>
        <v>97540</v>
      </c>
      <c r="Q497" t="str">
        <f>IF(Tabela1[[#This Row],[data_fim_real]]="","",Tabela1[[#This Row],[data_fim_real]]-Tabela1[[#This Row],[data_inicio_real]])</f>
        <v/>
      </c>
    </row>
    <row r="498" spans="1:17" ht="16.5" x14ac:dyDescent="0.5">
      <c r="A498" t="s">
        <v>1240</v>
      </c>
      <c r="B498" t="s">
        <v>1241</v>
      </c>
      <c r="C498" t="s">
        <v>347</v>
      </c>
      <c r="D498" t="s">
        <v>78</v>
      </c>
      <c r="E498" t="s">
        <v>19</v>
      </c>
      <c r="F498" s="1">
        <v>46062</v>
      </c>
      <c r="G498" s="1">
        <v>46126</v>
      </c>
      <c r="H498" s="1">
        <v>46078</v>
      </c>
      <c r="I498" s="1"/>
      <c r="J498" s="2">
        <v>320381.59999999998</v>
      </c>
      <c r="K498" s="2">
        <v>176810.22</v>
      </c>
      <c r="L498" s="2">
        <v>377722.41</v>
      </c>
      <c r="M498">
        <v>2132</v>
      </c>
      <c r="N498">
        <v>1079</v>
      </c>
      <c r="O498" t="s">
        <v>26</v>
      </c>
      <c r="P498" s="2">
        <f>Tabela1[[#This Row],[orcamento_aprovado]]-Tabela1[[#This Row],[custo_real_acumulado]]</f>
        <v>143571.37999999998</v>
      </c>
      <c r="Q498" t="str">
        <f>IF(Tabela1[[#This Row],[data_fim_real]]="","",Tabela1[[#This Row],[data_fim_real]]-Tabela1[[#This Row],[data_inicio_real]])</f>
        <v/>
      </c>
    </row>
    <row r="499" spans="1:17" ht="16.5" x14ac:dyDescent="0.5">
      <c r="A499" t="s">
        <v>1242</v>
      </c>
      <c r="B499" t="s">
        <v>1243</v>
      </c>
      <c r="C499" t="s">
        <v>337</v>
      </c>
      <c r="D499" t="s">
        <v>18</v>
      </c>
      <c r="E499" t="s">
        <v>42</v>
      </c>
      <c r="F499" s="1">
        <v>46240</v>
      </c>
      <c r="G499" s="1">
        <v>46313</v>
      </c>
      <c r="H499" s="1">
        <v>46238</v>
      </c>
      <c r="I499" s="1"/>
      <c r="J499" s="2">
        <v>142989.96</v>
      </c>
      <c r="K499" s="2">
        <v>100731.37</v>
      </c>
      <c r="L499" s="2">
        <v>191887.06</v>
      </c>
      <c r="M499">
        <v>1521</v>
      </c>
      <c r="N499">
        <v>1386</v>
      </c>
      <c r="O499" t="s">
        <v>34</v>
      </c>
      <c r="P499" s="2">
        <f>Tabela1[[#This Row],[orcamento_aprovado]]-Tabela1[[#This Row],[custo_real_acumulado]]</f>
        <v>42258.59</v>
      </c>
      <c r="Q499" t="str">
        <f>IF(Tabela1[[#This Row],[data_fim_real]]="","",Tabela1[[#This Row],[data_fim_real]]-Tabela1[[#This Row],[data_inicio_real]])</f>
        <v/>
      </c>
    </row>
    <row r="500" spans="1:17" ht="16.5" x14ac:dyDescent="0.5">
      <c r="A500" t="s">
        <v>1244</v>
      </c>
      <c r="B500" t="s">
        <v>1245</v>
      </c>
      <c r="C500" t="s">
        <v>301</v>
      </c>
      <c r="D500" t="s">
        <v>50</v>
      </c>
      <c r="E500" t="s">
        <v>43</v>
      </c>
      <c r="F500" s="1">
        <v>46135</v>
      </c>
      <c r="G500" s="1">
        <v>46197</v>
      </c>
      <c r="H500" s="1">
        <v>46133</v>
      </c>
      <c r="I500" s="1"/>
      <c r="J500" s="2">
        <v>50000</v>
      </c>
      <c r="K500" s="2">
        <v>46795.49</v>
      </c>
      <c r="L500" s="2">
        <v>90037.14</v>
      </c>
      <c r="M500">
        <v>880</v>
      </c>
      <c r="N500">
        <v>736</v>
      </c>
      <c r="O500" t="s">
        <v>21</v>
      </c>
      <c r="P500" s="2">
        <f>Tabela1[[#This Row],[orcamento_aprovado]]-Tabela1[[#This Row],[custo_real_acumulado]]</f>
        <v>3204.510000000002</v>
      </c>
      <c r="Q500" t="str">
        <f>IF(Tabela1[[#This Row],[data_fim_real]]="","",Tabela1[[#This Row],[data_fim_real]]-Tabela1[[#This Row],[data_inicio_real]])</f>
        <v/>
      </c>
    </row>
    <row r="501" spans="1:17" ht="16.5" x14ac:dyDescent="0.5">
      <c r="A501" t="s">
        <v>1246</v>
      </c>
      <c r="B501" t="s">
        <v>1247</v>
      </c>
      <c r="C501" t="s">
        <v>67</v>
      </c>
      <c r="D501" t="s">
        <v>54</v>
      </c>
      <c r="E501" t="s">
        <v>43</v>
      </c>
      <c r="F501" s="1">
        <v>46130</v>
      </c>
      <c r="G501" s="1">
        <v>46165</v>
      </c>
      <c r="H501" s="1">
        <v>46130</v>
      </c>
      <c r="I501" s="1"/>
      <c r="J501" s="2">
        <v>50000</v>
      </c>
      <c r="K501" s="2">
        <v>30581.27</v>
      </c>
      <c r="L501" s="2">
        <v>31214.36</v>
      </c>
      <c r="M501">
        <v>1209</v>
      </c>
      <c r="N501">
        <v>606</v>
      </c>
      <c r="O501" t="s">
        <v>26</v>
      </c>
      <c r="P501" s="2">
        <f>Tabela1[[#This Row],[orcamento_aprovado]]-Tabela1[[#This Row],[custo_real_acumulado]]</f>
        <v>19418.73</v>
      </c>
      <c r="Q501" t="str">
        <f>IF(Tabela1[[#This Row],[data_fim_real]]="","",Tabela1[[#This Row],[data_fim_real]]-Tabela1[[#This Row],[data_inicio_real]])</f>
        <v/>
      </c>
    </row>
    <row r="502" spans="1:17" ht="16.5" x14ac:dyDescent="0.5">
      <c r="A502" t="s">
        <v>1248</v>
      </c>
      <c r="B502" t="s">
        <v>1249</v>
      </c>
      <c r="C502" t="s">
        <v>293</v>
      </c>
      <c r="D502" t="s">
        <v>18</v>
      </c>
      <c r="E502" t="s">
        <v>19</v>
      </c>
      <c r="F502" s="1">
        <v>46063</v>
      </c>
      <c r="G502" s="1">
        <v>46161</v>
      </c>
      <c r="H502" s="1"/>
      <c r="I502" s="1"/>
      <c r="J502" s="2">
        <v>213203.48</v>
      </c>
      <c r="K502" s="2">
        <v>0</v>
      </c>
      <c r="L502" s="2">
        <v>246214.69</v>
      </c>
      <c r="M502">
        <v>1477</v>
      </c>
      <c r="N502">
        <v>0</v>
      </c>
      <c r="O502" t="s">
        <v>34</v>
      </c>
      <c r="P502" s="2">
        <f>Tabela1[[#This Row],[orcamento_aprovado]]-Tabela1[[#This Row],[custo_real_acumulado]]</f>
        <v>213203.48</v>
      </c>
      <c r="Q502" t="str">
        <f>IF(Tabela1[[#This Row],[data_fim_real]]="","",Tabela1[[#This Row],[data_fim_real]]-Tabela1[[#This Row],[data_inicio_real]])</f>
        <v/>
      </c>
    </row>
    <row r="503" spans="1:17" ht="16.5" x14ac:dyDescent="0.5">
      <c r="A503" t="s">
        <v>1250</v>
      </c>
      <c r="B503" t="s">
        <v>1251</v>
      </c>
      <c r="C503" t="s">
        <v>647</v>
      </c>
      <c r="D503" t="s">
        <v>142</v>
      </c>
      <c r="E503" t="s">
        <v>20</v>
      </c>
      <c r="F503" s="1">
        <v>46280</v>
      </c>
      <c r="G503" s="1">
        <v>46357</v>
      </c>
      <c r="H503" s="1">
        <v>46267</v>
      </c>
      <c r="I503" s="1"/>
      <c r="J503" s="2">
        <v>50000</v>
      </c>
      <c r="K503" s="2">
        <v>25466.32</v>
      </c>
      <c r="L503" s="2">
        <v>57957.38</v>
      </c>
      <c r="M503">
        <v>976</v>
      </c>
      <c r="N503">
        <v>341</v>
      </c>
      <c r="O503" t="s">
        <v>21</v>
      </c>
      <c r="P503" s="2">
        <f>Tabela1[[#This Row],[orcamento_aprovado]]-Tabela1[[#This Row],[custo_real_acumulado]]</f>
        <v>24533.68</v>
      </c>
      <c r="Q503" t="str">
        <f>IF(Tabela1[[#This Row],[data_fim_real]]="","",Tabela1[[#This Row],[data_fim_real]]-Tabela1[[#This Row],[data_inicio_real]])</f>
        <v/>
      </c>
    </row>
    <row r="504" spans="1:17" ht="16.5" x14ac:dyDescent="0.5">
      <c r="A504" t="s">
        <v>1252</v>
      </c>
      <c r="B504" t="s">
        <v>1253</v>
      </c>
      <c r="C504" t="s">
        <v>659</v>
      </c>
      <c r="D504" t="s">
        <v>18</v>
      </c>
      <c r="E504" t="s">
        <v>42</v>
      </c>
      <c r="F504" s="1">
        <v>46135</v>
      </c>
      <c r="G504" s="1">
        <v>46185</v>
      </c>
      <c r="H504" s="1">
        <v>46135</v>
      </c>
      <c r="I504" s="1"/>
      <c r="J504" s="2">
        <v>75262.5</v>
      </c>
      <c r="K504" s="2">
        <v>39199.65</v>
      </c>
      <c r="L504" s="2">
        <v>145905.75</v>
      </c>
      <c r="M504">
        <v>1116</v>
      </c>
      <c r="N504">
        <v>518</v>
      </c>
      <c r="O504" t="s">
        <v>26</v>
      </c>
      <c r="P504" s="2">
        <f>Tabela1[[#This Row],[orcamento_aprovado]]-Tabela1[[#This Row],[custo_real_acumulado]]</f>
        <v>36062.85</v>
      </c>
      <c r="Q504" t="str">
        <f>IF(Tabela1[[#This Row],[data_fim_real]]="","",Tabela1[[#This Row],[data_fim_real]]-Tabela1[[#This Row],[data_inicio_real]])</f>
        <v/>
      </c>
    </row>
    <row r="505" spans="1:17" ht="16.5" x14ac:dyDescent="0.5">
      <c r="A505" t="s">
        <v>1254</v>
      </c>
      <c r="B505" t="s">
        <v>1255</v>
      </c>
      <c r="C505" t="s">
        <v>197</v>
      </c>
      <c r="D505" t="s">
        <v>58</v>
      </c>
      <c r="E505" t="s">
        <v>20</v>
      </c>
      <c r="F505" s="1">
        <v>46145</v>
      </c>
      <c r="G505" s="1">
        <v>46239</v>
      </c>
      <c r="H505" s="1">
        <v>46139</v>
      </c>
      <c r="I505" s="1"/>
      <c r="J505" s="2">
        <v>115908.8</v>
      </c>
      <c r="K505" s="2">
        <v>85254.64</v>
      </c>
      <c r="L505" s="2">
        <v>183099.03</v>
      </c>
      <c r="M505">
        <v>6058</v>
      </c>
      <c r="N505">
        <v>4630</v>
      </c>
      <c r="O505" t="s">
        <v>34</v>
      </c>
      <c r="P505" s="2">
        <f>Tabela1[[#This Row],[orcamento_aprovado]]-Tabela1[[#This Row],[custo_real_acumulado]]</f>
        <v>30654.160000000003</v>
      </c>
      <c r="Q505" t="str">
        <f>IF(Tabela1[[#This Row],[data_fim_real]]="","",Tabela1[[#This Row],[data_fim_real]]-Tabela1[[#This Row],[data_inicio_real]])</f>
        <v/>
      </c>
    </row>
    <row r="506" spans="1:17" ht="16.5" x14ac:dyDescent="0.5">
      <c r="A506" t="s">
        <v>1256</v>
      </c>
      <c r="B506" t="s">
        <v>1257</v>
      </c>
      <c r="C506" t="s">
        <v>735</v>
      </c>
      <c r="D506" t="s">
        <v>25</v>
      </c>
      <c r="E506" t="s">
        <v>43</v>
      </c>
      <c r="F506" s="1">
        <v>46181</v>
      </c>
      <c r="G506" s="1">
        <v>46285</v>
      </c>
      <c r="H506" s="1"/>
      <c r="I506" s="1"/>
      <c r="J506" s="2">
        <v>59623.23</v>
      </c>
      <c r="K506" s="2">
        <v>0</v>
      </c>
      <c r="L506" s="2">
        <v>46509.68</v>
      </c>
      <c r="M506">
        <v>627</v>
      </c>
      <c r="N506">
        <v>0</v>
      </c>
      <c r="O506" t="s">
        <v>21</v>
      </c>
      <c r="P506" s="2">
        <f>Tabela1[[#This Row],[orcamento_aprovado]]-Tabela1[[#This Row],[custo_real_acumulado]]</f>
        <v>59623.23</v>
      </c>
      <c r="Q506" t="str">
        <f>IF(Tabela1[[#This Row],[data_fim_real]]="","",Tabela1[[#This Row],[data_fim_real]]-Tabela1[[#This Row],[data_inicio_real]])</f>
        <v/>
      </c>
    </row>
    <row r="507" spans="1:17" ht="16.5" x14ac:dyDescent="0.5">
      <c r="A507" t="s">
        <v>1258</v>
      </c>
      <c r="B507" t="s">
        <v>1259</v>
      </c>
      <c r="C507" t="s">
        <v>1260</v>
      </c>
      <c r="D507" t="s">
        <v>38</v>
      </c>
      <c r="E507" t="s">
        <v>43</v>
      </c>
      <c r="F507" s="1">
        <v>46323</v>
      </c>
      <c r="G507" s="1">
        <v>46387</v>
      </c>
      <c r="H507" s="1"/>
      <c r="I507" s="1"/>
      <c r="J507" s="2">
        <v>173187.14</v>
      </c>
      <c r="K507" s="2">
        <v>0</v>
      </c>
      <c r="L507" s="2">
        <v>265872.68</v>
      </c>
      <c r="M507">
        <v>2373</v>
      </c>
      <c r="N507">
        <v>0</v>
      </c>
      <c r="O507" t="s">
        <v>26</v>
      </c>
      <c r="P507" s="2">
        <f>Tabela1[[#This Row],[orcamento_aprovado]]-Tabela1[[#This Row],[custo_real_acumulado]]</f>
        <v>173187.14</v>
      </c>
      <c r="Q507" t="str">
        <f>IF(Tabela1[[#This Row],[data_fim_real]]="","",Tabela1[[#This Row],[data_fim_real]]-Tabela1[[#This Row],[data_inicio_real]])</f>
        <v/>
      </c>
    </row>
    <row r="508" spans="1:17" ht="16.5" x14ac:dyDescent="0.5">
      <c r="A508" t="s">
        <v>1261</v>
      </c>
      <c r="B508" t="s">
        <v>1262</v>
      </c>
      <c r="C508" t="s">
        <v>182</v>
      </c>
      <c r="D508" t="s">
        <v>50</v>
      </c>
      <c r="E508" t="s">
        <v>43</v>
      </c>
      <c r="F508" s="1">
        <v>46043</v>
      </c>
      <c r="G508" s="1">
        <v>46150</v>
      </c>
      <c r="H508" s="1">
        <v>46053</v>
      </c>
      <c r="I508" s="1"/>
      <c r="J508" s="2">
        <v>50000</v>
      </c>
      <c r="K508" s="2">
        <v>25922.41</v>
      </c>
      <c r="L508" s="2">
        <v>91978.81</v>
      </c>
      <c r="M508">
        <v>2952</v>
      </c>
      <c r="N508">
        <v>1575</v>
      </c>
      <c r="O508" t="s">
        <v>34</v>
      </c>
      <c r="P508" s="2">
        <f>Tabela1[[#This Row],[orcamento_aprovado]]-Tabela1[[#This Row],[custo_real_acumulado]]</f>
        <v>24077.59</v>
      </c>
      <c r="Q508" t="str">
        <f>IF(Tabela1[[#This Row],[data_fim_real]]="","",Tabela1[[#This Row],[data_fim_real]]-Tabela1[[#This Row],[data_inicio_real]])</f>
        <v/>
      </c>
    </row>
    <row r="509" spans="1:17" ht="16.5" x14ac:dyDescent="0.5">
      <c r="A509" t="s">
        <v>1263</v>
      </c>
      <c r="B509" t="s">
        <v>1264</v>
      </c>
      <c r="C509" t="s">
        <v>677</v>
      </c>
      <c r="D509" t="s">
        <v>78</v>
      </c>
      <c r="E509" t="s">
        <v>43</v>
      </c>
      <c r="F509" s="1">
        <v>46057</v>
      </c>
      <c r="G509" s="1">
        <v>46093</v>
      </c>
      <c r="H509" s="1">
        <v>46051</v>
      </c>
      <c r="I509" s="1"/>
      <c r="J509" s="2">
        <v>113924.5</v>
      </c>
      <c r="K509" s="2">
        <v>81368.12</v>
      </c>
      <c r="L509" s="2">
        <v>175237.71</v>
      </c>
      <c r="M509">
        <v>1633</v>
      </c>
      <c r="N509">
        <v>1185</v>
      </c>
      <c r="O509" t="s">
        <v>21</v>
      </c>
      <c r="P509" s="2">
        <f>Tabela1[[#This Row],[orcamento_aprovado]]-Tabela1[[#This Row],[custo_real_acumulado]]</f>
        <v>32556.380000000005</v>
      </c>
      <c r="Q509" t="str">
        <f>IF(Tabela1[[#This Row],[data_fim_real]]="","",Tabela1[[#This Row],[data_fim_real]]-Tabela1[[#This Row],[data_inicio_real]])</f>
        <v/>
      </c>
    </row>
    <row r="510" spans="1:17" ht="16.5" x14ac:dyDescent="0.5">
      <c r="A510" t="s">
        <v>1265</v>
      </c>
      <c r="B510" t="s">
        <v>1266</v>
      </c>
      <c r="C510" t="s">
        <v>450</v>
      </c>
      <c r="D510" t="s">
        <v>18</v>
      </c>
      <c r="E510" t="s">
        <v>20</v>
      </c>
      <c r="F510" s="1">
        <v>46089</v>
      </c>
      <c r="G510" s="1">
        <v>46123</v>
      </c>
      <c r="H510" s="1">
        <v>46089</v>
      </c>
      <c r="I510" s="1"/>
      <c r="J510" s="2">
        <v>50000</v>
      </c>
      <c r="K510" s="2">
        <v>36507.57</v>
      </c>
      <c r="L510" s="2">
        <v>89228.84</v>
      </c>
      <c r="M510">
        <v>1122</v>
      </c>
      <c r="N510">
        <v>887</v>
      </c>
      <c r="O510" t="s">
        <v>26</v>
      </c>
      <c r="P510" s="2">
        <f>Tabela1[[#This Row],[orcamento_aprovado]]-Tabela1[[#This Row],[custo_real_acumulado]]</f>
        <v>13492.43</v>
      </c>
      <c r="Q510" t="str">
        <f>IF(Tabela1[[#This Row],[data_fim_real]]="","",Tabela1[[#This Row],[data_fim_real]]-Tabela1[[#This Row],[data_inicio_real]])</f>
        <v/>
      </c>
    </row>
    <row r="511" spans="1:17" ht="16.5" x14ac:dyDescent="0.5">
      <c r="A511" t="s">
        <v>1267</v>
      </c>
      <c r="B511" t="s">
        <v>1268</v>
      </c>
      <c r="C511" t="s">
        <v>276</v>
      </c>
      <c r="D511" t="s">
        <v>50</v>
      </c>
      <c r="E511" t="s">
        <v>20</v>
      </c>
      <c r="F511" s="1">
        <v>46060</v>
      </c>
      <c r="G511" s="1">
        <v>46171</v>
      </c>
      <c r="H511" s="1">
        <v>46062</v>
      </c>
      <c r="I511" s="1"/>
      <c r="J511" s="2">
        <v>196391.79</v>
      </c>
      <c r="K511" s="2">
        <v>218607.48</v>
      </c>
      <c r="L511" s="2">
        <v>207449.47</v>
      </c>
      <c r="M511">
        <v>3492</v>
      </c>
      <c r="N511">
        <v>2775</v>
      </c>
      <c r="O511" t="s">
        <v>34</v>
      </c>
      <c r="P511" s="2">
        <f>Tabela1[[#This Row],[orcamento_aprovado]]-Tabela1[[#This Row],[custo_real_acumulado]]</f>
        <v>-22215.690000000002</v>
      </c>
      <c r="Q511" t="str">
        <f>IF(Tabela1[[#This Row],[data_fim_real]]="","",Tabela1[[#This Row],[data_fim_real]]-Tabela1[[#This Row],[data_inicio_real]])</f>
        <v/>
      </c>
    </row>
    <row r="512" spans="1:17" ht="16.5" x14ac:dyDescent="0.5">
      <c r="A512" t="s">
        <v>1269</v>
      </c>
      <c r="B512" t="s">
        <v>1270</v>
      </c>
      <c r="C512" t="s">
        <v>67</v>
      </c>
      <c r="D512" t="s">
        <v>38</v>
      </c>
      <c r="E512" t="s">
        <v>43</v>
      </c>
      <c r="F512" s="1">
        <v>46131</v>
      </c>
      <c r="G512" s="1">
        <v>46169</v>
      </c>
      <c r="H512" s="1">
        <v>46151</v>
      </c>
      <c r="I512" s="1"/>
      <c r="J512" s="2">
        <v>50000</v>
      </c>
      <c r="K512" s="2">
        <v>41649.78</v>
      </c>
      <c r="L512" s="2">
        <v>88343.02</v>
      </c>
      <c r="M512">
        <v>1383</v>
      </c>
      <c r="N512">
        <v>1287</v>
      </c>
      <c r="O512" t="s">
        <v>21</v>
      </c>
      <c r="P512" s="2">
        <f>Tabela1[[#This Row],[orcamento_aprovado]]-Tabela1[[#This Row],[custo_real_acumulado]]</f>
        <v>8350.2200000000012</v>
      </c>
      <c r="Q512" t="str">
        <f>IF(Tabela1[[#This Row],[data_fim_real]]="","",Tabela1[[#This Row],[data_fim_real]]-Tabela1[[#This Row],[data_inicio_real]])</f>
        <v/>
      </c>
    </row>
    <row r="513" spans="1:17" ht="16.5" x14ac:dyDescent="0.5">
      <c r="A513" t="s">
        <v>1271</v>
      </c>
      <c r="B513" t="s">
        <v>1272</v>
      </c>
      <c r="C513" t="s">
        <v>1273</v>
      </c>
      <c r="D513" t="s">
        <v>38</v>
      </c>
      <c r="E513" t="s">
        <v>42</v>
      </c>
      <c r="F513" s="1">
        <v>46050</v>
      </c>
      <c r="G513" s="1">
        <v>46100</v>
      </c>
      <c r="H513" s="1">
        <v>46038</v>
      </c>
      <c r="I513" s="1"/>
      <c r="J513" s="2">
        <v>52203.27</v>
      </c>
      <c r="K513" s="2">
        <v>8496.7800000000007</v>
      </c>
      <c r="L513" s="2">
        <v>22590.32</v>
      </c>
      <c r="M513">
        <v>1442</v>
      </c>
      <c r="N513">
        <v>283</v>
      </c>
      <c r="O513" t="s">
        <v>26</v>
      </c>
      <c r="P513" s="2">
        <f>Tabela1[[#This Row],[orcamento_aprovado]]-Tabela1[[#This Row],[custo_real_acumulado]]</f>
        <v>43706.49</v>
      </c>
      <c r="Q513" t="str">
        <f>IF(Tabela1[[#This Row],[data_fim_real]]="","",Tabela1[[#This Row],[data_fim_real]]-Tabela1[[#This Row],[data_inicio_real]])</f>
        <v/>
      </c>
    </row>
    <row r="514" spans="1:17" ht="16.5" x14ac:dyDescent="0.5">
      <c r="A514" t="s">
        <v>1274</v>
      </c>
      <c r="B514" t="s">
        <v>1275</v>
      </c>
      <c r="C514" t="s">
        <v>1276</v>
      </c>
      <c r="D514" t="s">
        <v>38</v>
      </c>
      <c r="E514" t="s">
        <v>19</v>
      </c>
      <c r="F514" s="1">
        <v>46198</v>
      </c>
      <c r="G514" s="1">
        <v>46266</v>
      </c>
      <c r="H514" s="1">
        <v>46186</v>
      </c>
      <c r="I514" s="1">
        <v>46282</v>
      </c>
      <c r="J514" s="2">
        <v>92222.97</v>
      </c>
      <c r="K514" s="2">
        <v>106528.56</v>
      </c>
      <c r="L514" s="2">
        <v>117570.15</v>
      </c>
      <c r="M514">
        <v>1926</v>
      </c>
      <c r="N514">
        <v>1959</v>
      </c>
      <c r="O514" t="s">
        <v>34</v>
      </c>
      <c r="P514" s="2">
        <f>Tabela1[[#This Row],[orcamento_aprovado]]-Tabela1[[#This Row],[custo_real_acumulado]]</f>
        <v>-14305.589999999997</v>
      </c>
      <c r="Q514">
        <f>IF(Tabela1[[#This Row],[data_fim_real]]="","",Tabela1[[#This Row],[data_fim_real]]-Tabela1[[#This Row],[data_inicio_real]])</f>
        <v>96</v>
      </c>
    </row>
    <row r="515" spans="1:17" ht="16.5" x14ac:dyDescent="0.5">
      <c r="A515" t="s">
        <v>1277</v>
      </c>
      <c r="B515" t="s">
        <v>1278</v>
      </c>
      <c r="C515" t="s">
        <v>654</v>
      </c>
      <c r="D515" t="s">
        <v>142</v>
      </c>
      <c r="E515" t="s">
        <v>20</v>
      </c>
      <c r="F515" s="1">
        <v>46185</v>
      </c>
      <c r="G515" s="1">
        <v>46199</v>
      </c>
      <c r="H515" s="1">
        <v>46192</v>
      </c>
      <c r="I515" s="1"/>
      <c r="J515" s="2">
        <v>123701.59</v>
      </c>
      <c r="K515" s="2">
        <v>123330.28</v>
      </c>
      <c r="L515" s="2">
        <v>239528.49</v>
      </c>
      <c r="M515">
        <v>420</v>
      </c>
      <c r="N515">
        <v>479</v>
      </c>
      <c r="O515" t="s">
        <v>21</v>
      </c>
      <c r="P515" s="2">
        <f>Tabela1[[#This Row],[orcamento_aprovado]]-Tabela1[[#This Row],[custo_real_acumulado]]</f>
        <v>371.30999999999767</v>
      </c>
      <c r="Q515" t="str">
        <f>IF(Tabela1[[#This Row],[data_fim_real]]="","",Tabela1[[#This Row],[data_fim_real]]-Tabela1[[#This Row],[data_inicio_real]])</f>
        <v/>
      </c>
    </row>
    <row r="516" spans="1:17" ht="16.5" x14ac:dyDescent="0.5">
      <c r="A516" t="s">
        <v>1279</v>
      </c>
      <c r="B516" t="s">
        <v>1280</v>
      </c>
      <c r="C516" t="s">
        <v>205</v>
      </c>
      <c r="D516" t="s">
        <v>25</v>
      </c>
      <c r="E516" t="s">
        <v>20</v>
      </c>
      <c r="F516" s="1">
        <v>46108</v>
      </c>
      <c r="G516" s="1">
        <v>46225</v>
      </c>
      <c r="H516" s="1">
        <v>46111</v>
      </c>
      <c r="I516" s="1"/>
      <c r="J516" s="2">
        <v>79819.72</v>
      </c>
      <c r="K516" s="2">
        <v>42947.3</v>
      </c>
      <c r="L516" s="2">
        <v>66934.92</v>
      </c>
      <c r="M516">
        <v>2364</v>
      </c>
      <c r="N516">
        <v>1487</v>
      </c>
      <c r="O516" t="s">
        <v>26</v>
      </c>
      <c r="P516" s="2">
        <f>Tabela1[[#This Row],[orcamento_aprovado]]-Tabela1[[#This Row],[custo_real_acumulado]]</f>
        <v>36872.42</v>
      </c>
      <c r="Q516" t="str">
        <f>IF(Tabela1[[#This Row],[data_fim_real]]="","",Tabela1[[#This Row],[data_fim_real]]-Tabela1[[#This Row],[data_inicio_real]])</f>
        <v/>
      </c>
    </row>
    <row r="517" spans="1:17" ht="16.5" x14ac:dyDescent="0.5">
      <c r="A517" t="s">
        <v>1281</v>
      </c>
      <c r="B517" t="s">
        <v>1282</v>
      </c>
      <c r="C517" t="s">
        <v>273</v>
      </c>
      <c r="D517" t="s">
        <v>50</v>
      </c>
      <c r="E517" t="s">
        <v>19</v>
      </c>
      <c r="F517" s="1">
        <v>46203</v>
      </c>
      <c r="G517" s="1">
        <v>46270</v>
      </c>
      <c r="H517" s="1">
        <v>46219</v>
      </c>
      <c r="I517" s="1"/>
      <c r="J517" s="2">
        <v>347291.08</v>
      </c>
      <c r="K517" s="2">
        <v>381396.05</v>
      </c>
      <c r="L517" s="2">
        <v>285941.65999999997</v>
      </c>
      <c r="M517">
        <v>2184</v>
      </c>
      <c r="N517">
        <v>1799</v>
      </c>
      <c r="O517" t="s">
        <v>34</v>
      </c>
      <c r="P517" s="2">
        <f>Tabela1[[#This Row],[orcamento_aprovado]]-Tabela1[[#This Row],[custo_real_acumulado]]</f>
        <v>-34104.969999999972</v>
      </c>
      <c r="Q517" t="str">
        <f>IF(Tabela1[[#This Row],[data_fim_real]]="","",Tabela1[[#This Row],[data_fim_real]]-Tabela1[[#This Row],[data_inicio_real]])</f>
        <v/>
      </c>
    </row>
    <row r="518" spans="1:17" ht="16.5" x14ac:dyDescent="0.5">
      <c r="A518" t="s">
        <v>1283</v>
      </c>
      <c r="B518" t="s">
        <v>1284</v>
      </c>
      <c r="C518" t="s">
        <v>595</v>
      </c>
      <c r="D518" t="s">
        <v>38</v>
      </c>
      <c r="E518" t="s">
        <v>19</v>
      </c>
      <c r="F518" s="1">
        <v>46076</v>
      </c>
      <c r="G518" s="1">
        <v>46137</v>
      </c>
      <c r="H518" s="1">
        <v>46066</v>
      </c>
      <c r="I518" s="1">
        <v>46142</v>
      </c>
      <c r="J518" s="2">
        <v>50000</v>
      </c>
      <c r="K518" s="2">
        <v>49929.27</v>
      </c>
      <c r="L518" s="2">
        <v>57646.61</v>
      </c>
      <c r="M518">
        <v>2279</v>
      </c>
      <c r="N518">
        <v>1856</v>
      </c>
      <c r="O518" t="s">
        <v>21</v>
      </c>
      <c r="P518" s="2">
        <f>Tabela1[[#This Row],[orcamento_aprovado]]-Tabela1[[#This Row],[custo_real_acumulado]]</f>
        <v>70.730000000003201</v>
      </c>
      <c r="Q518">
        <f>IF(Tabela1[[#This Row],[data_fim_real]]="","",Tabela1[[#This Row],[data_fim_real]]-Tabela1[[#This Row],[data_inicio_real]])</f>
        <v>76</v>
      </c>
    </row>
    <row r="519" spans="1:17" ht="16.5" x14ac:dyDescent="0.5">
      <c r="A519" t="s">
        <v>1285</v>
      </c>
      <c r="B519" t="s">
        <v>1286</v>
      </c>
      <c r="C519" t="s">
        <v>355</v>
      </c>
      <c r="D519" t="s">
        <v>38</v>
      </c>
      <c r="E519" t="s">
        <v>20</v>
      </c>
      <c r="F519" s="1">
        <v>46086</v>
      </c>
      <c r="G519" s="1">
        <v>46265</v>
      </c>
      <c r="H519" s="1">
        <v>46087</v>
      </c>
      <c r="I519" s="1"/>
      <c r="J519" s="2">
        <v>147500.98000000001</v>
      </c>
      <c r="K519" s="2">
        <v>129054.96</v>
      </c>
      <c r="L519" s="2">
        <v>271459.02</v>
      </c>
      <c r="M519">
        <v>4972</v>
      </c>
      <c r="N519">
        <v>4787</v>
      </c>
      <c r="O519" t="s">
        <v>26</v>
      </c>
      <c r="P519" s="2">
        <f>Tabela1[[#This Row],[orcamento_aprovado]]-Tabela1[[#This Row],[custo_real_acumulado]]</f>
        <v>18446.020000000004</v>
      </c>
      <c r="Q519" t="str">
        <f>IF(Tabela1[[#This Row],[data_fim_real]]="","",Tabela1[[#This Row],[data_fim_real]]-Tabela1[[#This Row],[data_inicio_real]])</f>
        <v/>
      </c>
    </row>
    <row r="520" spans="1:17" ht="16.5" x14ac:dyDescent="0.5">
      <c r="A520" t="s">
        <v>1287</v>
      </c>
      <c r="B520" t="s">
        <v>1288</v>
      </c>
      <c r="C520" t="s">
        <v>1064</v>
      </c>
      <c r="D520" t="s">
        <v>78</v>
      </c>
      <c r="E520" t="s">
        <v>19</v>
      </c>
      <c r="F520" s="1">
        <v>46235</v>
      </c>
      <c r="G520" s="1">
        <v>46293</v>
      </c>
      <c r="H520" s="1">
        <v>46242</v>
      </c>
      <c r="I520" s="1"/>
      <c r="J520" s="2">
        <v>230551.82</v>
      </c>
      <c r="K520" s="2">
        <v>34994.82</v>
      </c>
      <c r="L520" s="2">
        <v>107249.29</v>
      </c>
      <c r="M520">
        <v>1471</v>
      </c>
      <c r="N520">
        <v>207</v>
      </c>
      <c r="O520" t="s">
        <v>34</v>
      </c>
      <c r="P520" s="2">
        <f>Tabela1[[#This Row],[orcamento_aprovado]]-Tabela1[[#This Row],[custo_real_acumulado]]</f>
        <v>195557</v>
      </c>
      <c r="Q520" t="str">
        <f>IF(Tabela1[[#This Row],[data_fim_real]]="","",Tabela1[[#This Row],[data_fim_real]]-Tabela1[[#This Row],[data_inicio_real]])</f>
        <v/>
      </c>
    </row>
    <row r="521" spans="1:17" ht="16.5" x14ac:dyDescent="0.5">
      <c r="A521" t="s">
        <v>1289</v>
      </c>
      <c r="B521" t="s">
        <v>1290</v>
      </c>
      <c r="C521" t="s">
        <v>694</v>
      </c>
      <c r="D521" t="s">
        <v>58</v>
      </c>
      <c r="E521" t="s">
        <v>20</v>
      </c>
      <c r="F521" s="1">
        <v>46088</v>
      </c>
      <c r="G521" s="1">
        <v>46178</v>
      </c>
      <c r="H521" s="1">
        <v>46092</v>
      </c>
      <c r="I521" s="1">
        <v>46173</v>
      </c>
      <c r="J521" s="2">
        <v>707007.8</v>
      </c>
      <c r="K521" s="2">
        <v>763116.4</v>
      </c>
      <c r="L521" s="2">
        <v>1458565.01</v>
      </c>
      <c r="M521">
        <v>852</v>
      </c>
      <c r="N521">
        <v>853</v>
      </c>
      <c r="O521" t="s">
        <v>21</v>
      </c>
      <c r="P521" s="2">
        <f>Tabela1[[#This Row],[orcamento_aprovado]]-Tabela1[[#This Row],[custo_real_acumulado]]</f>
        <v>-56108.599999999977</v>
      </c>
      <c r="Q521">
        <f>IF(Tabela1[[#This Row],[data_fim_real]]="","",Tabela1[[#This Row],[data_fim_real]]-Tabela1[[#This Row],[data_inicio_real]])</f>
        <v>81</v>
      </c>
    </row>
    <row r="522" spans="1:17" ht="16.5" x14ac:dyDescent="0.5">
      <c r="A522" t="s">
        <v>1291</v>
      </c>
      <c r="B522" t="s">
        <v>1292</v>
      </c>
      <c r="C522" t="s">
        <v>285</v>
      </c>
      <c r="D522" t="s">
        <v>38</v>
      </c>
      <c r="E522" t="s">
        <v>19</v>
      </c>
      <c r="F522" s="1">
        <v>46036</v>
      </c>
      <c r="G522" s="1">
        <v>46116</v>
      </c>
      <c r="H522" s="1">
        <v>46036</v>
      </c>
      <c r="I522" s="1"/>
      <c r="J522" s="2">
        <v>202563.64</v>
      </c>
      <c r="K522" s="2">
        <v>88136.17</v>
      </c>
      <c r="L522" s="2">
        <v>402965.27</v>
      </c>
      <c r="M522">
        <v>1264</v>
      </c>
      <c r="N522">
        <v>471</v>
      </c>
      <c r="O522" t="s">
        <v>26</v>
      </c>
      <c r="P522" s="2">
        <f>Tabela1[[#This Row],[orcamento_aprovado]]-Tabela1[[#This Row],[custo_real_acumulado]]</f>
        <v>114427.47000000002</v>
      </c>
      <c r="Q522" t="str">
        <f>IF(Tabela1[[#This Row],[data_fim_real]]="","",Tabela1[[#This Row],[data_fim_real]]-Tabela1[[#This Row],[data_inicio_real]])</f>
        <v/>
      </c>
    </row>
    <row r="523" spans="1:17" ht="16.5" x14ac:dyDescent="0.5">
      <c r="A523" t="s">
        <v>1293</v>
      </c>
      <c r="B523" t="s">
        <v>1294</v>
      </c>
      <c r="C523" t="s">
        <v>450</v>
      </c>
      <c r="D523" t="s">
        <v>58</v>
      </c>
      <c r="E523" t="s">
        <v>43</v>
      </c>
      <c r="F523" s="1">
        <v>46360</v>
      </c>
      <c r="G523" s="1">
        <v>46387</v>
      </c>
      <c r="H523" s="1">
        <v>46369</v>
      </c>
      <c r="I523" s="1"/>
      <c r="J523" s="2">
        <v>68585.81</v>
      </c>
      <c r="K523" s="2">
        <v>14293.38</v>
      </c>
      <c r="L523" s="2">
        <v>43522.47</v>
      </c>
      <c r="M523">
        <v>592</v>
      </c>
      <c r="N523">
        <v>104</v>
      </c>
      <c r="O523" t="s">
        <v>34</v>
      </c>
      <c r="P523" s="2">
        <f>Tabela1[[#This Row],[orcamento_aprovado]]-Tabela1[[#This Row],[custo_real_acumulado]]</f>
        <v>54292.43</v>
      </c>
      <c r="Q523" t="str">
        <f>IF(Tabela1[[#This Row],[data_fim_real]]="","",Tabela1[[#This Row],[data_fim_real]]-Tabela1[[#This Row],[data_inicio_real]])</f>
        <v/>
      </c>
    </row>
    <row r="524" spans="1:17" ht="16.5" x14ac:dyDescent="0.5">
      <c r="A524" t="s">
        <v>1295</v>
      </c>
      <c r="B524" t="s">
        <v>1296</v>
      </c>
      <c r="C524" t="s">
        <v>719</v>
      </c>
      <c r="D524" t="s">
        <v>78</v>
      </c>
      <c r="E524" t="s">
        <v>19</v>
      </c>
      <c r="F524" s="1">
        <v>46223</v>
      </c>
      <c r="G524" s="1">
        <v>46357</v>
      </c>
      <c r="H524" s="1">
        <v>46241</v>
      </c>
      <c r="I524" s="1"/>
      <c r="J524" s="2">
        <v>50000</v>
      </c>
      <c r="K524" s="2">
        <v>3922.08</v>
      </c>
      <c r="L524" s="2">
        <v>62950.25</v>
      </c>
      <c r="M524">
        <v>1678</v>
      </c>
      <c r="N524">
        <v>151</v>
      </c>
      <c r="O524" t="s">
        <v>21</v>
      </c>
      <c r="P524" s="2">
        <f>Tabela1[[#This Row],[orcamento_aprovado]]-Tabela1[[#This Row],[custo_real_acumulado]]</f>
        <v>46077.919999999998</v>
      </c>
      <c r="Q524" t="str">
        <f>IF(Tabela1[[#This Row],[data_fim_real]]="","",Tabela1[[#This Row],[data_fim_real]]-Tabela1[[#This Row],[data_inicio_real]])</f>
        <v/>
      </c>
    </row>
    <row r="525" spans="1:17" ht="16.5" x14ac:dyDescent="0.5">
      <c r="A525" t="s">
        <v>1297</v>
      </c>
      <c r="B525" t="s">
        <v>1298</v>
      </c>
      <c r="C525" t="s">
        <v>361</v>
      </c>
      <c r="D525" t="s">
        <v>78</v>
      </c>
      <c r="E525" t="s">
        <v>42</v>
      </c>
      <c r="F525" s="1">
        <v>46198</v>
      </c>
      <c r="G525" s="1">
        <v>46306</v>
      </c>
      <c r="H525" s="1">
        <v>46201</v>
      </c>
      <c r="I525" s="1"/>
      <c r="J525" s="2">
        <v>67985.460000000006</v>
      </c>
      <c r="K525" s="2">
        <v>53940.57</v>
      </c>
      <c r="L525" s="2">
        <v>71878.48</v>
      </c>
      <c r="M525">
        <v>3164</v>
      </c>
      <c r="N525">
        <v>2460</v>
      </c>
      <c r="O525" t="s">
        <v>26</v>
      </c>
      <c r="P525" s="2">
        <f>Tabela1[[#This Row],[orcamento_aprovado]]-Tabela1[[#This Row],[custo_real_acumulado]]</f>
        <v>14044.890000000007</v>
      </c>
      <c r="Q525" t="str">
        <f>IF(Tabela1[[#This Row],[data_fim_real]]="","",Tabela1[[#This Row],[data_fim_real]]-Tabela1[[#This Row],[data_inicio_real]])</f>
        <v/>
      </c>
    </row>
    <row r="526" spans="1:17" ht="16.5" x14ac:dyDescent="0.5">
      <c r="A526" t="s">
        <v>1299</v>
      </c>
      <c r="B526" t="s">
        <v>1300</v>
      </c>
      <c r="C526" t="s">
        <v>296</v>
      </c>
      <c r="D526" t="s">
        <v>54</v>
      </c>
      <c r="E526" t="s">
        <v>19</v>
      </c>
      <c r="F526" s="1">
        <v>46135</v>
      </c>
      <c r="G526" s="1">
        <v>46247</v>
      </c>
      <c r="H526" s="1">
        <v>46126</v>
      </c>
      <c r="I526" s="1"/>
      <c r="J526" s="2">
        <v>765590.24</v>
      </c>
      <c r="K526" s="2">
        <v>216699.17</v>
      </c>
      <c r="L526" s="2">
        <v>357353.44</v>
      </c>
      <c r="M526">
        <v>2135</v>
      </c>
      <c r="N526">
        <v>554</v>
      </c>
      <c r="O526" t="s">
        <v>34</v>
      </c>
      <c r="P526" s="2">
        <f>Tabela1[[#This Row],[orcamento_aprovado]]-Tabela1[[#This Row],[custo_real_acumulado]]</f>
        <v>548891.06999999995</v>
      </c>
      <c r="Q526" t="str">
        <f>IF(Tabela1[[#This Row],[data_fim_real]]="","",Tabela1[[#This Row],[data_fim_real]]-Tabela1[[#This Row],[data_inicio_real]])</f>
        <v/>
      </c>
    </row>
    <row r="527" spans="1:17" ht="16.5" x14ac:dyDescent="0.5">
      <c r="A527" t="s">
        <v>1301</v>
      </c>
      <c r="B527" t="s">
        <v>1302</v>
      </c>
      <c r="C527" t="s">
        <v>785</v>
      </c>
      <c r="D527" t="s">
        <v>50</v>
      </c>
      <c r="E527" t="s">
        <v>42</v>
      </c>
      <c r="F527" s="1">
        <v>46224</v>
      </c>
      <c r="G527" s="1">
        <v>46299</v>
      </c>
      <c r="H527" s="1">
        <v>46216</v>
      </c>
      <c r="I527" s="1"/>
      <c r="J527" s="2">
        <v>50000</v>
      </c>
      <c r="K527" s="2">
        <v>30619.32</v>
      </c>
      <c r="L527" s="2">
        <v>60674.69</v>
      </c>
      <c r="M527">
        <v>1668</v>
      </c>
      <c r="N527">
        <v>1006</v>
      </c>
      <c r="O527" t="s">
        <v>21</v>
      </c>
      <c r="P527" s="2">
        <f>Tabela1[[#This Row],[orcamento_aprovado]]-Tabela1[[#This Row],[custo_real_acumulado]]</f>
        <v>19380.68</v>
      </c>
      <c r="Q527" t="str">
        <f>IF(Tabela1[[#This Row],[data_fim_real]]="","",Tabela1[[#This Row],[data_fim_real]]-Tabela1[[#This Row],[data_inicio_real]])</f>
        <v/>
      </c>
    </row>
    <row r="528" spans="1:17" ht="16.5" x14ac:dyDescent="0.5">
      <c r="A528" t="s">
        <v>1303</v>
      </c>
      <c r="B528" t="s">
        <v>1304</v>
      </c>
      <c r="C528" t="s">
        <v>455</v>
      </c>
      <c r="D528" t="s">
        <v>25</v>
      </c>
      <c r="E528" t="s">
        <v>43</v>
      </c>
      <c r="F528" s="1">
        <v>46055</v>
      </c>
      <c r="G528" s="1">
        <v>46175</v>
      </c>
      <c r="H528" s="1">
        <v>46046</v>
      </c>
      <c r="I528" s="1"/>
      <c r="J528" s="2">
        <v>368451.13</v>
      </c>
      <c r="K528" s="2">
        <v>241450.4</v>
      </c>
      <c r="L528" s="2">
        <v>350140.81</v>
      </c>
      <c r="M528">
        <v>1344</v>
      </c>
      <c r="N528">
        <v>965</v>
      </c>
      <c r="O528" t="s">
        <v>26</v>
      </c>
      <c r="P528" s="2">
        <f>Tabela1[[#This Row],[orcamento_aprovado]]-Tabela1[[#This Row],[custo_real_acumulado]]</f>
        <v>127000.73000000001</v>
      </c>
      <c r="Q528" t="str">
        <f>IF(Tabela1[[#This Row],[data_fim_real]]="","",Tabela1[[#This Row],[data_fim_real]]-Tabela1[[#This Row],[data_inicio_real]])</f>
        <v/>
      </c>
    </row>
    <row r="529" spans="1:17" ht="16.5" x14ac:dyDescent="0.5">
      <c r="A529" t="s">
        <v>1305</v>
      </c>
      <c r="B529" t="s">
        <v>1306</v>
      </c>
      <c r="C529" t="s">
        <v>1307</v>
      </c>
      <c r="D529" t="s">
        <v>38</v>
      </c>
      <c r="E529" t="s">
        <v>43</v>
      </c>
      <c r="F529" s="1">
        <v>46183</v>
      </c>
      <c r="G529" s="1">
        <v>46282</v>
      </c>
      <c r="H529" s="1">
        <v>46186</v>
      </c>
      <c r="I529" s="1"/>
      <c r="J529" s="2">
        <v>61503.23</v>
      </c>
      <c r="K529" s="2">
        <v>39990.26</v>
      </c>
      <c r="L529" s="2">
        <v>24195.439999999999</v>
      </c>
      <c r="M529">
        <v>3099</v>
      </c>
      <c r="N529">
        <v>1814</v>
      </c>
      <c r="O529" t="s">
        <v>34</v>
      </c>
      <c r="P529" s="2">
        <f>Tabela1[[#This Row],[orcamento_aprovado]]-Tabela1[[#This Row],[custo_real_acumulado]]</f>
        <v>21512.97</v>
      </c>
      <c r="Q529" t="str">
        <f>IF(Tabela1[[#This Row],[data_fim_real]]="","",Tabela1[[#This Row],[data_fim_real]]-Tabela1[[#This Row],[data_inicio_real]])</f>
        <v/>
      </c>
    </row>
    <row r="530" spans="1:17" ht="16.5" x14ac:dyDescent="0.5">
      <c r="A530" t="s">
        <v>1308</v>
      </c>
      <c r="B530" t="s">
        <v>1309</v>
      </c>
      <c r="C530" t="s">
        <v>179</v>
      </c>
      <c r="D530" t="s">
        <v>50</v>
      </c>
      <c r="E530" t="s">
        <v>20</v>
      </c>
      <c r="F530" s="1">
        <v>46316</v>
      </c>
      <c r="G530" s="1">
        <v>46374</v>
      </c>
      <c r="H530" s="1">
        <v>46318</v>
      </c>
      <c r="I530" s="1"/>
      <c r="J530" s="2">
        <v>471544.6</v>
      </c>
      <c r="K530" s="2">
        <v>237589.33</v>
      </c>
      <c r="L530" s="2">
        <v>199242.82</v>
      </c>
      <c r="M530">
        <v>2921</v>
      </c>
      <c r="N530">
        <v>1733</v>
      </c>
      <c r="O530" t="s">
        <v>21</v>
      </c>
      <c r="P530" s="2">
        <f>Tabela1[[#This Row],[orcamento_aprovado]]-Tabela1[[#This Row],[custo_real_acumulado]]</f>
        <v>233955.27</v>
      </c>
      <c r="Q530" t="str">
        <f>IF(Tabela1[[#This Row],[data_fim_real]]="","",Tabela1[[#This Row],[data_fim_real]]-Tabela1[[#This Row],[data_inicio_real]])</f>
        <v/>
      </c>
    </row>
    <row r="531" spans="1:17" ht="16.5" x14ac:dyDescent="0.5">
      <c r="A531" t="s">
        <v>1310</v>
      </c>
      <c r="B531" t="s">
        <v>1311</v>
      </c>
      <c r="C531" t="s">
        <v>1312</v>
      </c>
      <c r="D531" t="s">
        <v>18</v>
      </c>
      <c r="E531" t="s">
        <v>20</v>
      </c>
      <c r="F531" s="1">
        <v>46168</v>
      </c>
      <c r="G531" s="1">
        <v>46265</v>
      </c>
      <c r="H531" s="1">
        <v>46168</v>
      </c>
      <c r="I531" s="1"/>
      <c r="J531" s="2">
        <v>50608.45</v>
      </c>
      <c r="K531" s="2">
        <v>27587.48</v>
      </c>
      <c r="L531" s="2">
        <v>26000.49</v>
      </c>
      <c r="M531">
        <v>1114</v>
      </c>
      <c r="N531">
        <v>580</v>
      </c>
      <c r="O531" t="s">
        <v>26</v>
      </c>
      <c r="P531" s="2">
        <f>Tabela1[[#This Row],[orcamento_aprovado]]-Tabela1[[#This Row],[custo_real_acumulado]]</f>
        <v>23020.969999999998</v>
      </c>
      <c r="Q531" t="str">
        <f>IF(Tabela1[[#This Row],[data_fim_real]]="","",Tabela1[[#This Row],[data_fim_real]]-Tabela1[[#This Row],[data_inicio_real]])</f>
        <v/>
      </c>
    </row>
    <row r="532" spans="1:17" ht="16.5" x14ac:dyDescent="0.5">
      <c r="A532" t="s">
        <v>1313</v>
      </c>
      <c r="B532" t="s">
        <v>1314</v>
      </c>
      <c r="C532" t="s">
        <v>106</v>
      </c>
      <c r="D532" t="s">
        <v>71</v>
      </c>
      <c r="E532" t="s">
        <v>19</v>
      </c>
      <c r="F532" s="1">
        <v>46227</v>
      </c>
      <c r="G532" s="1">
        <v>46336</v>
      </c>
      <c r="H532" s="1">
        <v>46225</v>
      </c>
      <c r="I532" s="1"/>
      <c r="J532" s="2">
        <v>209258.82</v>
      </c>
      <c r="K532" s="2">
        <v>193769.97</v>
      </c>
      <c r="L532" s="2">
        <v>102403.2</v>
      </c>
      <c r="M532">
        <v>1847</v>
      </c>
      <c r="N532">
        <v>1257</v>
      </c>
      <c r="O532" t="s">
        <v>34</v>
      </c>
      <c r="P532" s="2">
        <f>Tabela1[[#This Row],[orcamento_aprovado]]-Tabela1[[#This Row],[custo_real_acumulado]]</f>
        <v>15488.850000000006</v>
      </c>
      <c r="Q532" t="str">
        <f>IF(Tabela1[[#This Row],[data_fim_real]]="","",Tabela1[[#This Row],[data_fim_real]]-Tabela1[[#This Row],[data_inicio_real]])</f>
        <v/>
      </c>
    </row>
    <row r="533" spans="1:17" ht="16.5" x14ac:dyDescent="0.5">
      <c r="A533" t="s">
        <v>1315</v>
      </c>
      <c r="B533" t="s">
        <v>1316</v>
      </c>
      <c r="C533" t="s">
        <v>627</v>
      </c>
      <c r="D533" t="s">
        <v>142</v>
      </c>
      <c r="E533" t="s">
        <v>20</v>
      </c>
      <c r="F533" s="1">
        <v>46246</v>
      </c>
      <c r="G533" s="1">
        <v>46315</v>
      </c>
      <c r="H533" s="1">
        <v>46254</v>
      </c>
      <c r="I533" s="1"/>
      <c r="J533" s="2">
        <v>104989.04</v>
      </c>
      <c r="K533" s="2">
        <v>67740.81</v>
      </c>
      <c r="L533" s="2">
        <v>156527.03</v>
      </c>
      <c r="M533">
        <v>1737</v>
      </c>
      <c r="N533">
        <v>811</v>
      </c>
      <c r="O533" t="s">
        <v>21</v>
      </c>
      <c r="P533" s="2">
        <f>Tabela1[[#This Row],[orcamento_aprovado]]-Tabela1[[#This Row],[custo_real_acumulado]]</f>
        <v>37248.229999999996</v>
      </c>
      <c r="Q533" t="str">
        <f>IF(Tabela1[[#This Row],[data_fim_real]]="","",Tabela1[[#This Row],[data_fim_real]]-Tabela1[[#This Row],[data_inicio_real]])</f>
        <v/>
      </c>
    </row>
    <row r="534" spans="1:17" ht="16.5" x14ac:dyDescent="0.5">
      <c r="A534" t="s">
        <v>1317</v>
      </c>
      <c r="B534" t="s">
        <v>1318</v>
      </c>
      <c r="C534" t="s">
        <v>430</v>
      </c>
      <c r="D534" t="s">
        <v>142</v>
      </c>
      <c r="E534" t="s">
        <v>20</v>
      </c>
      <c r="F534" s="1">
        <v>46380</v>
      </c>
      <c r="G534" s="1">
        <v>46387</v>
      </c>
      <c r="H534" s="1">
        <v>46360</v>
      </c>
      <c r="I534" s="1"/>
      <c r="J534" s="2">
        <v>268873.58</v>
      </c>
      <c r="K534" s="2">
        <v>159465.60000000001</v>
      </c>
      <c r="L534" s="2">
        <v>100178.34</v>
      </c>
      <c r="M534">
        <v>321</v>
      </c>
      <c r="N534">
        <v>210</v>
      </c>
      <c r="O534" t="s">
        <v>26</v>
      </c>
      <c r="P534" s="2">
        <f>Tabela1[[#This Row],[orcamento_aprovado]]-Tabela1[[#This Row],[custo_real_acumulado]]</f>
        <v>109407.98000000001</v>
      </c>
      <c r="Q534" t="str">
        <f>IF(Tabela1[[#This Row],[data_fim_real]]="","",Tabela1[[#This Row],[data_fim_real]]-Tabela1[[#This Row],[data_inicio_real]])</f>
        <v/>
      </c>
    </row>
    <row r="535" spans="1:17" ht="16.5" x14ac:dyDescent="0.5">
      <c r="A535" t="s">
        <v>1319</v>
      </c>
      <c r="B535" t="s">
        <v>1320</v>
      </c>
      <c r="C535" t="s">
        <v>765</v>
      </c>
      <c r="D535" t="s">
        <v>25</v>
      </c>
      <c r="E535" t="s">
        <v>19</v>
      </c>
      <c r="F535" s="1">
        <v>46138</v>
      </c>
      <c r="G535" s="1">
        <v>46165</v>
      </c>
      <c r="H535" s="1">
        <v>46136</v>
      </c>
      <c r="I535" s="1"/>
      <c r="J535" s="2">
        <v>50000</v>
      </c>
      <c r="K535" s="2">
        <v>36641.57</v>
      </c>
      <c r="L535" s="2">
        <v>23360.57</v>
      </c>
      <c r="M535">
        <v>687</v>
      </c>
      <c r="N535">
        <v>539</v>
      </c>
      <c r="O535" t="s">
        <v>34</v>
      </c>
      <c r="P535" s="2">
        <f>Tabela1[[#This Row],[orcamento_aprovado]]-Tabela1[[#This Row],[custo_real_acumulado]]</f>
        <v>13358.43</v>
      </c>
      <c r="Q535" t="str">
        <f>IF(Tabela1[[#This Row],[data_fim_real]]="","",Tabela1[[#This Row],[data_fim_real]]-Tabela1[[#This Row],[data_inicio_real]])</f>
        <v/>
      </c>
    </row>
    <row r="536" spans="1:17" ht="16.5" x14ac:dyDescent="0.5">
      <c r="A536" t="s">
        <v>1321</v>
      </c>
      <c r="B536" t="s">
        <v>1322</v>
      </c>
      <c r="C536" t="s">
        <v>1323</v>
      </c>
      <c r="D536" t="s">
        <v>58</v>
      </c>
      <c r="E536" t="s">
        <v>19</v>
      </c>
      <c r="F536" s="1">
        <v>46197</v>
      </c>
      <c r="G536" s="1">
        <v>46298</v>
      </c>
      <c r="H536" s="1">
        <v>46196</v>
      </c>
      <c r="I536" s="1"/>
      <c r="J536" s="2">
        <v>50000</v>
      </c>
      <c r="K536" s="2">
        <v>31673.99</v>
      </c>
      <c r="L536" s="2">
        <v>15505.8</v>
      </c>
      <c r="M536">
        <v>3497</v>
      </c>
      <c r="N536">
        <v>2634</v>
      </c>
      <c r="O536" t="s">
        <v>21</v>
      </c>
      <c r="P536" s="2">
        <f>Tabela1[[#This Row],[orcamento_aprovado]]-Tabela1[[#This Row],[custo_real_acumulado]]</f>
        <v>18326.009999999998</v>
      </c>
      <c r="Q536" t="str">
        <f>IF(Tabela1[[#This Row],[data_fim_real]]="","",Tabela1[[#This Row],[data_fim_real]]-Tabela1[[#This Row],[data_inicio_real]])</f>
        <v/>
      </c>
    </row>
    <row r="537" spans="1:17" ht="16.5" x14ac:dyDescent="0.5">
      <c r="A537" t="s">
        <v>1324</v>
      </c>
      <c r="B537" t="s">
        <v>1325</v>
      </c>
      <c r="C537" t="s">
        <v>276</v>
      </c>
      <c r="D537" t="s">
        <v>71</v>
      </c>
      <c r="E537" t="s">
        <v>19</v>
      </c>
      <c r="F537" s="1">
        <v>46180</v>
      </c>
      <c r="G537" s="1">
        <v>46260</v>
      </c>
      <c r="H537" s="1">
        <v>46166</v>
      </c>
      <c r="I537" s="1"/>
      <c r="J537" s="2">
        <v>96576.68</v>
      </c>
      <c r="K537" s="2">
        <v>49728.1</v>
      </c>
      <c r="L537" s="2">
        <v>137586.75</v>
      </c>
      <c r="M537">
        <v>1064</v>
      </c>
      <c r="N537">
        <v>425</v>
      </c>
      <c r="O537" t="s">
        <v>26</v>
      </c>
      <c r="P537" s="2">
        <f>Tabela1[[#This Row],[orcamento_aprovado]]-Tabela1[[#This Row],[custo_real_acumulado]]</f>
        <v>46848.579999999994</v>
      </c>
      <c r="Q537" t="str">
        <f>IF(Tabela1[[#This Row],[data_fim_real]]="","",Tabela1[[#This Row],[data_fim_real]]-Tabela1[[#This Row],[data_inicio_real]])</f>
        <v/>
      </c>
    </row>
    <row r="538" spans="1:17" ht="16.5" x14ac:dyDescent="0.5">
      <c r="A538" t="s">
        <v>1326</v>
      </c>
      <c r="B538" t="s">
        <v>1327</v>
      </c>
      <c r="C538" t="s">
        <v>1328</v>
      </c>
      <c r="D538" t="s">
        <v>50</v>
      </c>
      <c r="E538" t="s">
        <v>43</v>
      </c>
      <c r="F538" s="1">
        <v>46131</v>
      </c>
      <c r="G538" s="1">
        <v>46262</v>
      </c>
      <c r="H538" s="1">
        <v>46114</v>
      </c>
      <c r="I538" s="1"/>
      <c r="J538" s="2">
        <v>50000</v>
      </c>
      <c r="K538" s="2">
        <v>44300.33</v>
      </c>
      <c r="L538" s="2">
        <v>86712.89</v>
      </c>
      <c r="M538">
        <v>7677</v>
      </c>
      <c r="N538">
        <v>6923</v>
      </c>
      <c r="O538" t="s">
        <v>34</v>
      </c>
      <c r="P538" s="2">
        <f>Tabela1[[#This Row],[orcamento_aprovado]]-Tabela1[[#This Row],[custo_real_acumulado]]</f>
        <v>5699.6699999999983</v>
      </c>
      <c r="Q538" t="str">
        <f>IF(Tabela1[[#This Row],[data_fim_real]]="","",Tabela1[[#This Row],[data_fim_real]]-Tabela1[[#This Row],[data_inicio_real]])</f>
        <v/>
      </c>
    </row>
    <row r="539" spans="1:17" ht="16.5" x14ac:dyDescent="0.5">
      <c r="A539" t="s">
        <v>1329</v>
      </c>
      <c r="B539" t="s">
        <v>1330</v>
      </c>
      <c r="C539" t="s">
        <v>489</v>
      </c>
      <c r="D539" t="s">
        <v>38</v>
      </c>
      <c r="E539" t="s">
        <v>43</v>
      </c>
      <c r="F539" s="1">
        <v>46371</v>
      </c>
      <c r="G539" s="1">
        <v>46387</v>
      </c>
      <c r="H539" s="1">
        <v>46379</v>
      </c>
      <c r="I539" s="1"/>
      <c r="J539" s="2">
        <v>50000</v>
      </c>
      <c r="K539" s="2">
        <v>18210.98</v>
      </c>
      <c r="L539" s="2">
        <v>63918.3</v>
      </c>
      <c r="M539">
        <v>128</v>
      </c>
      <c r="N539">
        <v>46</v>
      </c>
      <c r="O539" t="s">
        <v>21</v>
      </c>
      <c r="P539" s="2">
        <f>Tabela1[[#This Row],[orcamento_aprovado]]-Tabela1[[#This Row],[custo_real_acumulado]]</f>
        <v>31789.02</v>
      </c>
      <c r="Q539" t="str">
        <f>IF(Tabela1[[#This Row],[data_fim_real]]="","",Tabela1[[#This Row],[data_fim_real]]-Tabela1[[#This Row],[data_inicio_real]])</f>
        <v/>
      </c>
    </row>
    <row r="540" spans="1:17" ht="16.5" x14ac:dyDescent="0.5">
      <c r="A540" t="s">
        <v>1331</v>
      </c>
      <c r="B540" t="s">
        <v>1332</v>
      </c>
      <c r="C540" t="s">
        <v>151</v>
      </c>
      <c r="D540" t="s">
        <v>58</v>
      </c>
      <c r="E540" t="s">
        <v>43</v>
      </c>
      <c r="F540" s="1">
        <v>46276</v>
      </c>
      <c r="G540" s="1">
        <v>46320</v>
      </c>
      <c r="H540" s="1">
        <v>46265</v>
      </c>
      <c r="I540" s="1"/>
      <c r="J540" s="2">
        <v>89149.9</v>
      </c>
      <c r="K540" s="2">
        <v>30007.040000000001</v>
      </c>
      <c r="L540" s="2">
        <v>138359.87</v>
      </c>
      <c r="M540">
        <v>1476</v>
      </c>
      <c r="N540">
        <v>499</v>
      </c>
      <c r="O540" t="s">
        <v>26</v>
      </c>
      <c r="P540" s="2">
        <f>Tabela1[[#This Row],[orcamento_aprovado]]-Tabela1[[#This Row],[custo_real_acumulado]]</f>
        <v>59142.859999999993</v>
      </c>
      <c r="Q540" t="str">
        <f>IF(Tabela1[[#This Row],[data_fim_real]]="","",Tabela1[[#This Row],[data_fim_real]]-Tabela1[[#This Row],[data_inicio_real]])</f>
        <v/>
      </c>
    </row>
    <row r="541" spans="1:17" ht="16.5" x14ac:dyDescent="0.5">
      <c r="A541" t="s">
        <v>1333</v>
      </c>
      <c r="B541" t="s">
        <v>1334</v>
      </c>
      <c r="C541" t="s">
        <v>794</v>
      </c>
      <c r="D541" t="s">
        <v>71</v>
      </c>
      <c r="E541" t="s">
        <v>19</v>
      </c>
      <c r="F541" s="1">
        <v>46108</v>
      </c>
      <c r="G541" s="1">
        <v>46228</v>
      </c>
      <c r="H541" s="1">
        <v>46102</v>
      </c>
      <c r="I541" s="1"/>
      <c r="J541" s="2">
        <v>69792.95</v>
      </c>
      <c r="K541" s="2">
        <v>58324.83</v>
      </c>
      <c r="L541" s="2">
        <v>35186.89</v>
      </c>
      <c r="M541">
        <v>2606</v>
      </c>
      <c r="N541">
        <v>1906</v>
      </c>
      <c r="O541" t="s">
        <v>34</v>
      </c>
      <c r="P541" s="2">
        <f>Tabela1[[#This Row],[orcamento_aprovado]]-Tabela1[[#This Row],[custo_real_acumulado]]</f>
        <v>11468.119999999995</v>
      </c>
      <c r="Q541" t="str">
        <f>IF(Tabela1[[#This Row],[data_fim_real]]="","",Tabela1[[#This Row],[data_fim_real]]-Tabela1[[#This Row],[data_inicio_real]])</f>
        <v/>
      </c>
    </row>
    <row r="542" spans="1:17" ht="16.5" x14ac:dyDescent="0.5">
      <c r="A542" t="s">
        <v>1335</v>
      </c>
      <c r="B542" t="s">
        <v>1336</v>
      </c>
      <c r="C542" t="s">
        <v>422</v>
      </c>
      <c r="D542" t="s">
        <v>33</v>
      </c>
      <c r="E542" t="s">
        <v>43</v>
      </c>
      <c r="F542" s="1">
        <v>46031</v>
      </c>
      <c r="G542" s="1">
        <v>46089</v>
      </c>
      <c r="H542" s="1">
        <v>46033</v>
      </c>
      <c r="I542" s="1"/>
      <c r="J542" s="2">
        <v>50000</v>
      </c>
      <c r="K542" s="2">
        <v>54174.99</v>
      </c>
      <c r="L542" s="2">
        <v>92815.2</v>
      </c>
      <c r="M542">
        <v>2061</v>
      </c>
      <c r="N542">
        <v>1617</v>
      </c>
      <c r="O542" t="s">
        <v>21</v>
      </c>
      <c r="P542" s="2">
        <f>Tabela1[[#This Row],[orcamento_aprovado]]-Tabela1[[#This Row],[custo_real_acumulado]]</f>
        <v>-4174.989999999998</v>
      </c>
      <c r="Q542" t="str">
        <f>IF(Tabela1[[#This Row],[data_fim_real]]="","",Tabela1[[#This Row],[data_fim_real]]-Tabela1[[#This Row],[data_inicio_real]])</f>
        <v/>
      </c>
    </row>
    <row r="543" spans="1:17" ht="16.5" x14ac:dyDescent="0.5">
      <c r="A543" t="s">
        <v>1337</v>
      </c>
      <c r="B543" t="s">
        <v>1338</v>
      </c>
      <c r="C543" t="s">
        <v>647</v>
      </c>
      <c r="D543" t="s">
        <v>50</v>
      </c>
      <c r="E543" t="s">
        <v>19</v>
      </c>
      <c r="F543" s="1">
        <v>46193</v>
      </c>
      <c r="G543" s="1">
        <v>46245</v>
      </c>
      <c r="H543" s="1">
        <v>46190</v>
      </c>
      <c r="I543" s="1"/>
      <c r="J543" s="2">
        <v>291400.92</v>
      </c>
      <c r="K543" s="2">
        <v>125657.45</v>
      </c>
      <c r="L543" s="2">
        <v>227717.12</v>
      </c>
      <c r="M543">
        <v>1568</v>
      </c>
      <c r="N543">
        <v>647</v>
      </c>
      <c r="O543" t="s">
        <v>26</v>
      </c>
      <c r="P543" s="2">
        <f>Tabela1[[#This Row],[orcamento_aprovado]]-Tabela1[[#This Row],[custo_real_acumulado]]</f>
        <v>165743.46999999997</v>
      </c>
      <c r="Q543" t="str">
        <f>IF(Tabela1[[#This Row],[data_fim_real]]="","",Tabela1[[#This Row],[data_fim_real]]-Tabela1[[#This Row],[data_inicio_real]])</f>
        <v/>
      </c>
    </row>
    <row r="544" spans="1:17" ht="16.5" x14ac:dyDescent="0.5">
      <c r="A544" t="s">
        <v>1339</v>
      </c>
      <c r="B544" t="s">
        <v>1340</v>
      </c>
      <c r="C544" t="s">
        <v>235</v>
      </c>
      <c r="D544" t="s">
        <v>71</v>
      </c>
      <c r="E544" t="s">
        <v>20</v>
      </c>
      <c r="F544" s="1">
        <v>46068</v>
      </c>
      <c r="G544" s="1">
        <v>46190</v>
      </c>
      <c r="H544" s="1">
        <v>46064</v>
      </c>
      <c r="I544" s="1">
        <v>46143</v>
      </c>
      <c r="J544" s="2">
        <v>50000</v>
      </c>
      <c r="K544" s="2">
        <v>21181.54</v>
      </c>
      <c r="L544" s="2">
        <v>59635.32</v>
      </c>
      <c r="M544">
        <v>3982</v>
      </c>
      <c r="N544">
        <v>1525</v>
      </c>
      <c r="O544" t="s">
        <v>34</v>
      </c>
      <c r="P544" s="2">
        <f>Tabela1[[#This Row],[orcamento_aprovado]]-Tabela1[[#This Row],[custo_real_acumulado]]</f>
        <v>28818.46</v>
      </c>
      <c r="Q544">
        <f>IF(Tabela1[[#This Row],[data_fim_real]]="","",Tabela1[[#This Row],[data_fim_real]]-Tabela1[[#This Row],[data_inicio_real]])</f>
        <v>79</v>
      </c>
    </row>
    <row r="545" spans="1:17" ht="16.5" x14ac:dyDescent="0.5">
      <c r="A545" t="s">
        <v>1341</v>
      </c>
      <c r="B545" t="s">
        <v>1342</v>
      </c>
      <c r="C545" t="s">
        <v>949</v>
      </c>
      <c r="D545" t="s">
        <v>25</v>
      </c>
      <c r="E545" t="s">
        <v>42</v>
      </c>
      <c r="F545" s="1">
        <v>46198</v>
      </c>
      <c r="G545" s="1">
        <v>46236</v>
      </c>
      <c r="H545" s="1">
        <v>46190</v>
      </c>
      <c r="I545" s="1"/>
      <c r="J545" s="2">
        <v>96986.880000000005</v>
      </c>
      <c r="K545" s="2">
        <v>104195.18</v>
      </c>
      <c r="L545" s="2">
        <v>189803.47</v>
      </c>
      <c r="M545">
        <v>883</v>
      </c>
      <c r="N545">
        <v>717</v>
      </c>
      <c r="O545" t="s">
        <v>21</v>
      </c>
      <c r="P545" s="2">
        <f>Tabela1[[#This Row],[orcamento_aprovado]]-Tabela1[[#This Row],[custo_real_acumulado]]</f>
        <v>-7208.2999999999884</v>
      </c>
      <c r="Q545" t="str">
        <f>IF(Tabela1[[#This Row],[data_fim_real]]="","",Tabela1[[#This Row],[data_fim_real]]-Tabela1[[#This Row],[data_inicio_real]])</f>
        <v/>
      </c>
    </row>
    <row r="546" spans="1:17" ht="16.5" x14ac:dyDescent="0.5">
      <c r="A546" t="s">
        <v>1343</v>
      </c>
      <c r="B546" t="s">
        <v>1344</v>
      </c>
      <c r="C546" t="s">
        <v>571</v>
      </c>
      <c r="D546" t="s">
        <v>54</v>
      </c>
      <c r="E546" t="s">
        <v>43</v>
      </c>
      <c r="F546" s="1">
        <v>46173</v>
      </c>
      <c r="G546" s="1">
        <v>46285</v>
      </c>
      <c r="H546" s="1">
        <v>46169</v>
      </c>
      <c r="I546" s="1"/>
      <c r="J546" s="2">
        <v>62699.51</v>
      </c>
      <c r="K546" s="2">
        <v>30653.38</v>
      </c>
      <c r="L546" s="2">
        <v>81682.86</v>
      </c>
      <c r="M546">
        <v>4166</v>
      </c>
      <c r="N546">
        <v>2051</v>
      </c>
      <c r="O546" t="s">
        <v>26</v>
      </c>
      <c r="P546" s="2">
        <f>Tabela1[[#This Row],[orcamento_aprovado]]-Tabela1[[#This Row],[custo_real_acumulado]]</f>
        <v>32046.13</v>
      </c>
      <c r="Q546" t="str">
        <f>IF(Tabela1[[#This Row],[data_fim_real]]="","",Tabela1[[#This Row],[data_fim_real]]-Tabela1[[#This Row],[data_inicio_real]])</f>
        <v/>
      </c>
    </row>
    <row r="547" spans="1:17" ht="16.5" x14ac:dyDescent="0.5">
      <c r="A547" t="s">
        <v>1345</v>
      </c>
      <c r="B547" t="s">
        <v>1346</v>
      </c>
      <c r="C547" t="s">
        <v>258</v>
      </c>
      <c r="D547" t="s">
        <v>78</v>
      </c>
      <c r="E547" t="s">
        <v>43</v>
      </c>
      <c r="F547" s="1">
        <v>46102</v>
      </c>
      <c r="G547" s="1">
        <v>46178</v>
      </c>
      <c r="H547" s="1">
        <v>46104</v>
      </c>
      <c r="I547" s="1">
        <v>46206</v>
      </c>
      <c r="J547" s="2">
        <v>179504.58</v>
      </c>
      <c r="K547" s="2">
        <v>180793.48</v>
      </c>
      <c r="L547" s="2">
        <v>381868.84</v>
      </c>
      <c r="M547">
        <v>1759</v>
      </c>
      <c r="N547">
        <v>1954</v>
      </c>
      <c r="O547" t="s">
        <v>34</v>
      </c>
      <c r="P547" s="2">
        <f>Tabela1[[#This Row],[orcamento_aprovado]]-Tabela1[[#This Row],[custo_real_acumulado]]</f>
        <v>-1288.9000000000233</v>
      </c>
      <c r="Q547">
        <f>IF(Tabela1[[#This Row],[data_fim_real]]="","",Tabela1[[#This Row],[data_fim_real]]-Tabela1[[#This Row],[data_inicio_real]])</f>
        <v>102</v>
      </c>
    </row>
    <row r="548" spans="1:17" ht="16.5" x14ac:dyDescent="0.5">
      <c r="A548" t="s">
        <v>1347</v>
      </c>
      <c r="B548" t="s">
        <v>1348</v>
      </c>
      <c r="C548" t="s">
        <v>86</v>
      </c>
      <c r="D548" t="s">
        <v>38</v>
      </c>
      <c r="E548" t="s">
        <v>43</v>
      </c>
      <c r="F548" s="1">
        <v>46182</v>
      </c>
      <c r="G548" s="1">
        <v>46315</v>
      </c>
      <c r="H548" s="1">
        <v>46204</v>
      </c>
      <c r="I548" s="1">
        <v>46356</v>
      </c>
      <c r="J548" s="2">
        <v>83204.66</v>
      </c>
      <c r="K548" s="2">
        <v>91270.66</v>
      </c>
      <c r="L548" s="2">
        <v>88973.28</v>
      </c>
      <c r="M548">
        <v>2371</v>
      </c>
      <c r="N548">
        <v>2283</v>
      </c>
      <c r="O548" t="s">
        <v>21</v>
      </c>
      <c r="P548" s="2">
        <f>Tabela1[[#This Row],[orcamento_aprovado]]-Tabela1[[#This Row],[custo_real_acumulado]]</f>
        <v>-8066</v>
      </c>
      <c r="Q548">
        <f>IF(Tabela1[[#This Row],[data_fim_real]]="","",Tabela1[[#This Row],[data_fim_real]]-Tabela1[[#This Row],[data_inicio_real]])</f>
        <v>152</v>
      </c>
    </row>
    <row r="549" spans="1:17" ht="16.5" x14ac:dyDescent="0.5">
      <c r="A549" t="s">
        <v>1349</v>
      </c>
      <c r="B549" t="s">
        <v>1350</v>
      </c>
      <c r="C549" t="s">
        <v>321</v>
      </c>
      <c r="D549" t="s">
        <v>78</v>
      </c>
      <c r="E549" t="s">
        <v>43</v>
      </c>
      <c r="F549" s="1">
        <v>46246</v>
      </c>
      <c r="G549" s="1">
        <v>46375</v>
      </c>
      <c r="H549" s="1">
        <v>46260</v>
      </c>
      <c r="I549" s="1"/>
      <c r="J549" s="2">
        <v>83842.570000000007</v>
      </c>
      <c r="K549" s="2">
        <v>3789.32</v>
      </c>
      <c r="L549" s="2">
        <v>52091.17</v>
      </c>
      <c r="M549">
        <v>2697</v>
      </c>
      <c r="N549">
        <v>142</v>
      </c>
      <c r="O549" t="s">
        <v>26</v>
      </c>
      <c r="P549" s="2">
        <f>Tabela1[[#This Row],[orcamento_aprovado]]-Tabela1[[#This Row],[custo_real_acumulado]]</f>
        <v>80053.25</v>
      </c>
      <c r="Q549" t="str">
        <f>IF(Tabela1[[#This Row],[data_fim_real]]="","",Tabela1[[#This Row],[data_fim_real]]-Tabela1[[#This Row],[data_inicio_real]])</f>
        <v/>
      </c>
    </row>
    <row r="550" spans="1:17" ht="16.5" x14ac:dyDescent="0.5">
      <c r="A550" t="s">
        <v>1351</v>
      </c>
      <c r="B550" t="s">
        <v>1352</v>
      </c>
      <c r="C550" t="s">
        <v>987</v>
      </c>
      <c r="D550" t="s">
        <v>71</v>
      </c>
      <c r="E550" t="s">
        <v>42</v>
      </c>
      <c r="F550" s="1">
        <v>46337</v>
      </c>
      <c r="G550" s="1">
        <v>46387</v>
      </c>
      <c r="H550" s="1">
        <v>46334</v>
      </c>
      <c r="I550" s="1"/>
      <c r="J550" s="2">
        <v>80366.929999999993</v>
      </c>
      <c r="K550" s="2">
        <v>42360.95</v>
      </c>
      <c r="L550" s="2">
        <v>154728.48000000001</v>
      </c>
      <c r="M550">
        <v>1223</v>
      </c>
      <c r="N550">
        <v>878</v>
      </c>
      <c r="O550" t="s">
        <v>34</v>
      </c>
      <c r="P550" s="2">
        <f>Tabela1[[#This Row],[orcamento_aprovado]]-Tabela1[[#This Row],[custo_real_acumulado]]</f>
        <v>38005.979999999996</v>
      </c>
      <c r="Q550" t="str">
        <f>IF(Tabela1[[#This Row],[data_fim_real]]="","",Tabela1[[#This Row],[data_fim_real]]-Tabela1[[#This Row],[data_inicio_real]])</f>
        <v/>
      </c>
    </row>
    <row r="551" spans="1:17" ht="16.5" x14ac:dyDescent="0.5">
      <c r="A551" t="s">
        <v>1353</v>
      </c>
      <c r="B551" t="s">
        <v>1354</v>
      </c>
      <c r="C551" t="s">
        <v>756</v>
      </c>
      <c r="D551" t="s">
        <v>38</v>
      </c>
      <c r="E551" t="s">
        <v>43</v>
      </c>
      <c r="F551" s="1">
        <v>46051</v>
      </c>
      <c r="G551" s="1">
        <v>46101</v>
      </c>
      <c r="H551" s="1">
        <v>46053</v>
      </c>
      <c r="I551" s="1"/>
      <c r="J551" s="2">
        <v>50000</v>
      </c>
      <c r="K551" s="2">
        <v>26890.959999999999</v>
      </c>
      <c r="L551" s="2">
        <v>83484.86</v>
      </c>
      <c r="M551">
        <v>1504</v>
      </c>
      <c r="N551">
        <v>715</v>
      </c>
      <c r="O551" t="s">
        <v>21</v>
      </c>
      <c r="P551" s="2">
        <f>Tabela1[[#This Row],[orcamento_aprovado]]-Tabela1[[#This Row],[custo_real_acumulado]]</f>
        <v>23109.040000000001</v>
      </c>
      <c r="Q551" t="str">
        <f>IF(Tabela1[[#This Row],[data_fim_real]]="","",Tabela1[[#This Row],[data_fim_real]]-Tabela1[[#This Row],[data_inicio_real]])</f>
        <v/>
      </c>
    </row>
    <row r="552" spans="1:17" ht="16.5" x14ac:dyDescent="0.5">
      <c r="A552" t="s">
        <v>1355</v>
      </c>
      <c r="B552" t="s">
        <v>1356</v>
      </c>
      <c r="C552" t="s">
        <v>182</v>
      </c>
      <c r="D552" t="s">
        <v>142</v>
      </c>
      <c r="E552" t="s">
        <v>43</v>
      </c>
      <c r="F552" s="1">
        <v>46368</v>
      </c>
      <c r="G552" s="1">
        <v>46387</v>
      </c>
      <c r="H552" s="1">
        <v>46387</v>
      </c>
      <c r="I552" s="1">
        <v>46387</v>
      </c>
      <c r="J552" s="2">
        <v>292856.52</v>
      </c>
      <c r="K552" s="2">
        <v>106620.31</v>
      </c>
      <c r="L552" s="2">
        <v>612006.80000000005</v>
      </c>
      <c r="M552">
        <v>199</v>
      </c>
      <c r="N552">
        <v>68</v>
      </c>
      <c r="O552" t="s">
        <v>26</v>
      </c>
      <c r="P552" s="2">
        <f>Tabela1[[#This Row],[orcamento_aprovado]]-Tabela1[[#This Row],[custo_real_acumulado]]</f>
        <v>186236.21000000002</v>
      </c>
      <c r="Q552">
        <f>IF(Tabela1[[#This Row],[data_fim_real]]="","",Tabela1[[#This Row],[data_fim_real]]-Tabela1[[#This Row],[data_inicio_real]])</f>
        <v>0</v>
      </c>
    </row>
    <row r="553" spans="1:17" ht="16.5" x14ac:dyDescent="0.5">
      <c r="A553" t="s">
        <v>1357</v>
      </c>
      <c r="B553" t="s">
        <v>1358</v>
      </c>
      <c r="C553" t="s">
        <v>492</v>
      </c>
      <c r="D553" t="s">
        <v>25</v>
      </c>
      <c r="E553" t="s">
        <v>43</v>
      </c>
      <c r="F553" s="1">
        <v>46250</v>
      </c>
      <c r="G553" s="1">
        <v>46355</v>
      </c>
      <c r="H553" s="1">
        <v>46277</v>
      </c>
      <c r="I553" s="1"/>
      <c r="J553" s="2">
        <v>78846.539999999994</v>
      </c>
      <c r="K553" s="2">
        <v>64499.17</v>
      </c>
      <c r="L553" s="2">
        <v>157028.79</v>
      </c>
      <c r="M553">
        <v>4445</v>
      </c>
      <c r="N553">
        <v>2820</v>
      </c>
      <c r="O553" t="s">
        <v>34</v>
      </c>
      <c r="P553" s="2">
        <f>Tabela1[[#This Row],[orcamento_aprovado]]-Tabela1[[#This Row],[custo_real_acumulado]]</f>
        <v>14347.369999999995</v>
      </c>
      <c r="Q553" t="str">
        <f>IF(Tabela1[[#This Row],[data_fim_real]]="","",Tabela1[[#This Row],[data_fim_real]]-Tabela1[[#This Row],[data_inicio_real]])</f>
        <v/>
      </c>
    </row>
    <row r="554" spans="1:17" ht="16.5" x14ac:dyDescent="0.5">
      <c r="A554" t="s">
        <v>1359</v>
      </c>
      <c r="B554" t="s">
        <v>1360</v>
      </c>
      <c r="C554" t="s">
        <v>1361</v>
      </c>
      <c r="D554" t="s">
        <v>142</v>
      </c>
      <c r="E554" t="s">
        <v>20</v>
      </c>
      <c r="F554" s="1">
        <v>46302</v>
      </c>
      <c r="G554" s="1">
        <v>46387</v>
      </c>
      <c r="H554" s="1">
        <v>46304</v>
      </c>
      <c r="I554" s="1"/>
      <c r="J554" s="2">
        <v>50000</v>
      </c>
      <c r="K554" s="2">
        <v>48566.53</v>
      </c>
      <c r="L554" s="2">
        <v>61789.58</v>
      </c>
      <c r="M554">
        <v>2618</v>
      </c>
      <c r="N554">
        <v>2025</v>
      </c>
      <c r="O554" t="s">
        <v>21</v>
      </c>
      <c r="P554" s="2">
        <f>Tabela1[[#This Row],[orcamento_aprovado]]-Tabela1[[#This Row],[custo_real_acumulado]]</f>
        <v>1433.4700000000012</v>
      </c>
      <c r="Q554" t="str">
        <f>IF(Tabela1[[#This Row],[data_fim_real]]="","",Tabela1[[#This Row],[data_fim_real]]-Tabela1[[#This Row],[data_inicio_real]])</f>
        <v/>
      </c>
    </row>
    <row r="555" spans="1:17" ht="16.5" x14ac:dyDescent="0.5">
      <c r="A555" t="s">
        <v>1362</v>
      </c>
      <c r="B555" t="s">
        <v>1363</v>
      </c>
      <c r="C555" t="s">
        <v>1364</v>
      </c>
      <c r="D555" t="s">
        <v>38</v>
      </c>
      <c r="E555" t="s">
        <v>20</v>
      </c>
      <c r="F555" s="1">
        <v>46320</v>
      </c>
      <c r="G555" s="1">
        <v>46387</v>
      </c>
      <c r="H555" s="1">
        <v>46316</v>
      </c>
      <c r="I555" s="1"/>
      <c r="J555" s="2">
        <v>53361.599999999999</v>
      </c>
      <c r="K555" s="2">
        <v>12731.12</v>
      </c>
      <c r="L555" s="2">
        <v>29159.01</v>
      </c>
      <c r="M555">
        <v>787</v>
      </c>
      <c r="N555">
        <v>187</v>
      </c>
      <c r="O555" t="s">
        <v>26</v>
      </c>
      <c r="P555" s="2">
        <f>Tabela1[[#This Row],[orcamento_aprovado]]-Tabela1[[#This Row],[custo_real_acumulado]]</f>
        <v>40630.479999999996</v>
      </c>
      <c r="Q555" t="str">
        <f>IF(Tabela1[[#This Row],[data_fim_real]]="","",Tabela1[[#This Row],[data_fim_real]]-Tabela1[[#This Row],[data_inicio_real]])</f>
        <v/>
      </c>
    </row>
    <row r="556" spans="1:17" ht="16.5" x14ac:dyDescent="0.5">
      <c r="A556" t="s">
        <v>1365</v>
      </c>
      <c r="B556" t="s">
        <v>1366</v>
      </c>
      <c r="C556" t="s">
        <v>642</v>
      </c>
      <c r="D556" t="s">
        <v>50</v>
      </c>
      <c r="E556" t="s">
        <v>43</v>
      </c>
      <c r="F556" s="1">
        <v>46358</v>
      </c>
      <c r="G556" s="1">
        <v>46387</v>
      </c>
      <c r="H556" s="1">
        <v>46342</v>
      </c>
      <c r="I556" s="1"/>
      <c r="J556" s="2">
        <v>338188.18</v>
      </c>
      <c r="K556" s="2">
        <v>103892.35</v>
      </c>
      <c r="L556" s="2">
        <v>287980.42</v>
      </c>
      <c r="M556">
        <v>947</v>
      </c>
      <c r="N556">
        <v>214</v>
      </c>
      <c r="O556" t="s">
        <v>34</v>
      </c>
      <c r="P556" s="2">
        <f>Tabela1[[#This Row],[orcamento_aprovado]]-Tabela1[[#This Row],[custo_real_acumulado]]</f>
        <v>234295.83</v>
      </c>
      <c r="Q556" t="str">
        <f>IF(Tabela1[[#This Row],[data_fim_real]]="","",Tabela1[[#This Row],[data_fim_real]]-Tabela1[[#This Row],[data_inicio_real]])</f>
        <v/>
      </c>
    </row>
    <row r="557" spans="1:17" ht="16.5" x14ac:dyDescent="0.5">
      <c r="A557" t="s">
        <v>1367</v>
      </c>
      <c r="B557" t="s">
        <v>1368</v>
      </c>
      <c r="C557" t="s">
        <v>252</v>
      </c>
      <c r="D557" t="s">
        <v>54</v>
      </c>
      <c r="E557" t="s">
        <v>20</v>
      </c>
      <c r="F557" s="1">
        <v>46339</v>
      </c>
      <c r="G557" s="1">
        <v>46387</v>
      </c>
      <c r="H557" s="1">
        <v>46349</v>
      </c>
      <c r="I557" s="1">
        <v>46387</v>
      </c>
      <c r="J557" s="2">
        <v>136831.94</v>
      </c>
      <c r="K557" s="2">
        <v>138425.20000000001</v>
      </c>
      <c r="L557" s="2">
        <v>98635.58</v>
      </c>
      <c r="M557">
        <v>2047</v>
      </c>
      <c r="N557">
        <v>1718</v>
      </c>
      <c r="O557" t="s">
        <v>21</v>
      </c>
      <c r="P557" s="2">
        <f>Tabela1[[#This Row],[orcamento_aprovado]]-Tabela1[[#This Row],[custo_real_acumulado]]</f>
        <v>-1593.2600000000093</v>
      </c>
      <c r="Q557">
        <f>IF(Tabela1[[#This Row],[data_fim_real]]="","",Tabela1[[#This Row],[data_fim_real]]-Tabela1[[#This Row],[data_inicio_real]])</f>
        <v>38</v>
      </c>
    </row>
    <row r="558" spans="1:17" ht="16.5" x14ac:dyDescent="0.5">
      <c r="A558" t="s">
        <v>1369</v>
      </c>
      <c r="B558" t="s">
        <v>1370</v>
      </c>
      <c r="C558" t="s">
        <v>70</v>
      </c>
      <c r="D558" t="s">
        <v>18</v>
      </c>
      <c r="E558" t="s">
        <v>19</v>
      </c>
      <c r="F558" s="1">
        <v>46336</v>
      </c>
      <c r="G558" s="1">
        <v>46387</v>
      </c>
      <c r="H558" s="1">
        <v>46322</v>
      </c>
      <c r="I558" s="1">
        <v>46373</v>
      </c>
      <c r="J558" s="2">
        <v>61101.27</v>
      </c>
      <c r="K558" s="2">
        <v>17431.560000000001</v>
      </c>
      <c r="L558" s="2">
        <v>103284.03</v>
      </c>
      <c r="M558">
        <v>2022</v>
      </c>
      <c r="N558">
        <v>620</v>
      </c>
      <c r="O558" t="s">
        <v>26</v>
      </c>
      <c r="P558" s="2">
        <f>Tabela1[[#This Row],[orcamento_aprovado]]-Tabela1[[#This Row],[custo_real_acumulado]]</f>
        <v>43669.709999999992</v>
      </c>
      <c r="Q558">
        <f>IF(Tabela1[[#This Row],[data_fim_real]]="","",Tabela1[[#This Row],[data_fim_real]]-Tabela1[[#This Row],[data_inicio_real]])</f>
        <v>51</v>
      </c>
    </row>
    <row r="559" spans="1:17" ht="16.5" x14ac:dyDescent="0.5">
      <c r="A559" t="s">
        <v>1371</v>
      </c>
      <c r="B559" t="s">
        <v>1372</v>
      </c>
      <c r="C559" t="s">
        <v>735</v>
      </c>
      <c r="D559" t="s">
        <v>58</v>
      </c>
      <c r="E559" t="s">
        <v>43</v>
      </c>
      <c r="F559" s="1">
        <v>46105</v>
      </c>
      <c r="G559" s="1">
        <v>46146</v>
      </c>
      <c r="H559" s="1">
        <v>46122</v>
      </c>
      <c r="I559" s="1"/>
      <c r="J559" s="2">
        <v>50000</v>
      </c>
      <c r="K559" s="2">
        <v>13844.5</v>
      </c>
      <c r="L559" s="2">
        <v>55728.89</v>
      </c>
      <c r="M559">
        <v>1770</v>
      </c>
      <c r="N559">
        <v>398</v>
      </c>
      <c r="O559" t="s">
        <v>34</v>
      </c>
      <c r="P559" s="2">
        <f>Tabela1[[#This Row],[orcamento_aprovado]]-Tabela1[[#This Row],[custo_real_acumulado]]</f>
        <v>36155.5</v>
      </c>
      <c r="Q559" t="str">
        <f>IF(Tabela1[[#This Row],[data_fim_real]]="","",Tabela1[[#This Row],[data_fim_real]]-Tabela1[[#This Row],[data_inicio_real]])</f>
        <v/>
      </c>
    </row>
    <row r="560" spans="1:17" ht="16.5" x14ac:dyDescent="0.5">
      <c r="A560" t="s">
        <v>1373</v>
      </c>
      <c r="B560" t="s">
        <v>1374</v>
      </c>
      <c r="C560" t="s">
        <v>64</v>
      </c>
      <c r="D560" t="s">
        <v>38</v>
      </c>
      <c r="E560" t="s">
        <v>43</v>
      </c>
      <c r="F560" s="1">
        <v>46293</v>
      </c>
      <c r="G560" s="1">
        <v>46387</v>
      </c>
      <c r="H560" s="1">
        <v>46289</v>
      </c>
      <c r="I560" s="1">
        <v>46387</v>
      </c>
      <c r="J560" s="2">
        <v>154784.82999999999</v>
      </c>
      <c r="K560" s="2">
        <v>191995.97</v>
      </c>
      <c r="L560" s="2">
        <v>137780.45000000001</v>
      </c>
      <c r="M560">
        <v>3812</v>
      </c>
      <c r="N560">
        <v>3221</v>
      </c>
      <c r="O560" t="s">
        <v>21</v>
      </c>
      <c r="P560" s="2">
        <f>Tabela1[[#This Row],[orcamento_aprovado]]-Tabela1[[#This Row],[custo_real_acumulado]]</f>
        <v>-37211.140000000014</v>
      </c>
      <c r="Q560">
        <f>IF(Tabela1[[#This Row],[data_fim_real]]="","",Tabela1[[#This Row],[data_fim_real]]-Tabela1[[#This Row],[data_inicio_real]])</f>
        <v>98</v>
      </c>
    </row>
    <row r="561" spans="1:17" ht="16.5" x14ac:dyDescent="0.5">
      <c r="A561" t="s">
        <v>1375</v>
      </c>
      <c r="B561" t="s">
        <v>1376</v>
      </c>
      <c r="C561" t="s">
        <v>77</v>
      </c>
      <c r="D561" t="s">
        <v>25</v>
      </c>
      <c r="E561" t="s">
        <v>20</v>
      </c>
      <c r="F561" s="1">
        <v>46049</v>
      </c>
      <c r="G561" s="1">
        <v>46155</v>
      </c>
      <c r="H561" s="1">
        <v>46060</v>
      </c>
      <c r="I561" s="1"/>
      <c r="J561" s="2">
        <v>151044.91</v>
      </c>
      <c r="K561" s="2">
        <v>63579.03</v>
      </c>
      <c r="L561" s="2">
        <v>242405.75</v>
      </c>
      <c r="M561">
        <v>3038</v>
      </c>
      <c r="N561">
        <v>1568</v>
      </c>
      <c r="O561" t="s">
        <v>26</v>
      </c>
      <c r="P561" s="2">
        <f>Tabela1[[#This Row],[orcamento_aprovado]]-Tabela1[[#This Row],[custo_real_acumulado]]</f>
        <v>87465.88</v>
      </c>
      <c r="Q561" t="str">
        <f>IF(Tabela1[[#This Row],[data_fim_real]]="","",Tabela1[[#This Row],[data_fim_real]]-Tabela1[[#This Row],[data_inicio_real]])</f>
        <v/>
      </c>
    </row>
    <row r="562" spans="1:17" ht="16.5" x14ac:dyDescent="0.5">
      <c r="A562" t="s">
        <v>1377</v>
      </c>
      <c r="B562" t="s">
        <v>1378</v>
      </c>
      <c r="C562" t="s">
        <v>218</v>
      </c>
      <c r="D562" t="s">
        <v>18</v>
      </c>
      <c r="E562" t="s">
        <v>19</v>
      </c>
      <c r="F562" s="1">
        <v>46052</v>
      </c>
      <c r="G562" s="1">
        <v>46066</v>
      </c>
      <c r="H562" s="1">
        <v>46058</v>
      </c>
      <c r="I562" s="1"/>
      <c r="J562" s="2">
        <v>59628.31</v>
      </c>
      <c r="K562" s="2">
        <v>43577.66</v>
      </c>
      <c r="L562" s="2">
        <v>26448.35</v>
      </c>
      <c r="M562">
        <v>115</v>
      </c>
      <c r="N562">
        <v>111</v>
      </c>
      <c r="O562" t="s">
        <v>34</v>
      </c>
      <c r="P562" s="2">
        <f>Tabela1[[#This Row],[orcamento_aprovado]]-Tabela1[[#This Row],[custo_real_acumulado]]</f>
        <v>16050.649999999994</v>
      </c>
      <c r="Q562" t="str">
        <f>IF(Tabela1[[#This Row],[data_fim_real]]="","",Tabela1[[#This Row],[data_fim_real]]-Tabela1[[#This Row],[data_inicio_real]])</f>
        <v/>
      </c>
    </row>
    <row r="563" spans="1:17" ht="16.5" x14ac:dyDescent="0.5">
      <c r="A563" t="s">
        <v>1379</v>
      </c>
      <c r="B563" t="s">
        <v>1380</v>
      </c>
      <c r="C563" t="s">
        <v>902</v>
      </c>
      <c r="D563" t="s">
        <v>54</v>
      </c>
      <c r="E563" t="s">
        <v>43</v>
      </c>
      <c r="F563" s="1">
        <v>46143</v>
      </c>
      <c r="G563" s="1">
        <v>46259</v>
      </c>
      <c r="H563" s="1">
        <v>46143</v>
      </c>
      <c r="I563" s="1">
        <v>46274</v>
      </c>
      <c r="J563" s="2">
        <v>616018.66</v>
      </c>
      <c r="K563" s="2">
        <v>757484.25</v>
      </c>
      <c r="L563" s="2">
        <v>1353622.71</v>
      </c>
      <c r="M563">
        <v>1191</v>
      </c>
      <c r="N563">
        <v>1280</v>
      </c>
      <c r="O563" t="s">
        <v>21</v>
      </c>
      <c r="P563" s="2">
        <f>Tabela1[[#This Row],[orcamento_aprovado]]-Tabela1[[#This Row],[custo_real_acumulado]]</f>
        <v>-141465.58999999997</v>
      </c>
      <c r="Q563">
        <f>IF(Tabela1[[#This Row],[data_fim_real]]="","",Tabela1[[#This Row],[data_fim_real]]-Tabela1[[#This Row],[data_inicio_real]])</f>
        <v>131</v>
      </c>
    </row>
    <row r="564" spans="1:17" ht="16.5" x14ac:dyDescent="0.5">
      <c r="A564" t="s">
        <v>1381</v>
      </c>
      <c r="B564" t="s">
        <v>1382</v>
      </c>
      <c r="C564" t="s">
        <v>179</v>
      </c>
      <c r="D564" t="s">
        <v>142</v>
      </c>
      <c r="E564" t="s">
        <v>20</v>
      </c>
      <c r="F564" s="1">
        <v>46178</v>
      </c>
      <c r="G564" s="1">
        <v>46192</v>
      </c>
      <c r="H564" s="1">
        <v>46186</v>
      </c>
      <c r="I564" s="1"/>
      <c r="J564" s="2">
        <v>50000</v>
      </c>
      <c r="K564" s="2">
        <v>12154.43</v>
      </c>
      <c r="L564" s="2">
        <v>65806.09</v>
      </c>
      <c r="M564">
        <v>328</v>
      </c>
      <c r="N564">
        <v>65</v>
      </c>
      <c r="O564" t="s">
        <v>26</v>
      </c>
      <c r="P564" s="2">
        <f>Tabela1[[#This Row],[orcamento_aprovado]]-Tabela1[[#This Row],[custo_real_acumulado]]</f>
        <v>37845.57</v>
      </c>
      <c r="Q564" t="str">
        <f>IF(Tabela1[[#This Row],[data_fim_real]]="","",Tabela1[[#This Row],[data_fim_real]]-Tabela1[[#This Row],[data_inicio_real]])</f>
        <v/>
      </c>
    </row>
    <row r="565" spans="1:17" ht="16.5" x14ac:dyDescent="0.5">
      <c r="A565" t="s">
        <v>1383</v>
      </c>
      <c r="B565" t="s">
        <v>1384</v>
      </c>
      <c r="C565" t="s">
        <v>118</v>
      </c>
      <c r="D565" t="s">
        <v>38</v>
      </c>
      <c r="E565" t="s">
        <v>19</v>
      </c>
      <c r="F565" s="1">
        <v>46247</v>
      </c>
      <c r="G565" s="1">
        <v>46332</v>
      </c>
      <c r="H565" s="1">
        <v>46235</v>
      </c>
      <c r="I565" s="1"/>
      <c r="J565" s="2">
        <v>405116.94</v>
      </c>
      <c r="K565" s="2">
        <v>345896.63</v>
      </c>
      <c r="L565" s="2">
        <v>570281.94999999995</v>
      </c>
      <c r="M565">
        <v>4646</v>
      </c>
      <c r="N565">
        <v>2847</v>
      </c>
      <c r="O565" t="s">
        <v>34</v>
      </c>
      <c r="P565" s="2">
        <f>Tabela1[[#This Row],[orcamento_aprovado]]-Tabela1[[#This Row],[custo_real_acumulado]]</f>
        <v>59220.31</v>
      </c>
      <c r="Q565" t="str">
        <f>IF(Tabela1[[#This Row],[data_fim_real]]="","",Tabela1[[#This Row],[data_fim_real]]-Tabela1[[#This Row],[data_inicio_real]])</f>
        <v/>
      </c>
    </row>
    <row r="566" spans="1:17" ht="16.5" x14ac:dyDescent="0.5">
      <c r="A566" t="s">
        <v>1385</v>
      </c>
      <c r="B566" t="s">
        <v>1386</v>
      </c>
      <c r="C566" t="s">
        <v>109</v>
      </c>
      <c r="D566" t="s">
        <v>50</v>
      </c>
      <c r="E566" t="s">
        <v>42</v>
      </c>
      <c r="F566" s="1">
        <v>46052</v>
      </c>
      <c r="G566" s="1">
        <v>46118</v>
      </c>
      <c r="H566" s="1">
        <v>46045</v>
      </c>
      <c r="I566" s="1"/>
      <c r="J566" s="2">
        <v>50000</v>
      </c>
      <c r="K566" s="2">
        <v>45609.09</v>
      </c>
      <c r="L566" s="2">
        <v>15086.05</v>
      </c>
      <c r="M566">
        <v>1786</v>
      </c>
      <c r="N566">
        <v>1552</v>
      </c>
      <c r="O566" t="s">
        <v>21</v>
      </c>
      <c r="P566" s="2">
        <f>Tabela1[[#This Row],[orcamento_aprovado]]-Tabela1[[#This Row],[custo_real_acumulado]]</f>
        <v>4390.9100000000035</v>
      </c>
      <c r="Q566" t="str">
        <f>IF(Tabela1[[#This Row],[data_fim_real]]="","",Tabela1[[#This Row],[data_fim_real]]-Tabela1[[#This Row],[data_inicio_real]])</f>
        <v/>
      </c>
    </row>
    <row r="567" spans="1:17" ht="16.5" x14ac:dyDescent="0.5">
      <c r="A567" t="s">
        <v>1387</v>
      </c>
      <c r="B567" t="s">
        <v>1388</v>
      </c>
      <c r="C567" t="s">
        <v>53</v>
      </c>
      <c r="D567" t="s">
        <v>18</v>
      </c>
      <c r="E567" t="s">
        <v>43</v>
      </c>
      <c r="F567" s="1">
        <v>46135</v>
      </c>
      <c r="G567" s="1">
        <v>46208</v>
      </c>
      <c r="H567" s="1">
        <v>46127</v>
      </c>
      <c r="I567" s="1"/>
      <c r="J567" s="2">
        <v>534473.31000000006</v>
      </c>
      <c r="K567" s="2">
        <v>101975.02</v>
      </c>
      <c r="L567" s="2">
        <v>1033097.2</v>
      </c>
      <c r="M567">
        <v>2055</v>
      </c>
      <c r="N567">
        <v>472</v>
      </c>
      <c r="O567" t="s">
        <v>26</v>
      </c>
      <c r="P567" s="2">
        <f>Tabela1[[#This Row],[orcamento_aprovado]]-Tabela1[[#This Row],[custo_real_acumulado]]</f>
        <v>432498.29000000004</v>
      </c>
      <c r="Q567" t="str">
        <f>IF(Tabela1[[#This Row],[data_fim_real]]="","",Tabela1[[#This Row],[data_fim_real]]-Tabela1[[#This Row],[data_inicio_real]])</f>
        <v/>
      </c>
    </row>
    <row r="568" spans="1:17" ht="16.5" x14ac:dyDescent="0.5">
      <c r="A568" t="s">
        <v>1389</v>
      </c>
      <c r="B568" t="s">
        <v>1390</v>
      </c>
      <c r="C568" t="s">
        <v>200</v>
      </c>
      <c r="D568" t="s">
        <v>18</v>
      </c>
      <c r="E568" t="s">
        <v>43</v>
      </c>
      <c r="F568" s="1">
        <v>46063</v>
      </c>
      <c r="G568" s="1">
        <v>46099</v>
      </c>
      <c r="H568" s="1">
        <v>46079</v>
      </c>
      <c r="I568" s="1">
        <v>46120</v>
      </c>
      <c r="J568" s="2">
        <v>100836.69</v>
      </c>
      <c r="K568" s="2">
        <v>100237.4</v>
      </c>
      <c r="L568" s="2">
        <v>119346.99</v>
      </c>
      <c r="M568">
        <v>938</v>
      </c>
      <c r="N568">
        <v>1052</v>
      </c>
      <c r="O568" t="s">
        <v>34</v>
      </c>
      <c r="P568" s="2">
        <f>Tabela1[[#This Row],[orcamento_aprovado]]-Tabela1[[#This Row],[custo_real_acumulado]]</f>
        <v>599.29000000000815</v>
      </c>
      <c r="Q568">
        <f>IF(Tabela1[[#This Row],[data_fim_real]]="","",Tabela1[[#This Row],[data_fim_real]]-Tabela1[[#This Row],[data_inicio_real]])</f>
        <v>41</v>
      </c>
    </row>
    <row r="569" spans="1:17" ht="16.5" x14ac:dyDescent="0.5">
      <c r="A569" t="s">
        <v>1391</v>
      </c>
      <c r="B569" t="s">
        <v>1392</v>
      </c>
      <c r="C569" t="s">
        <v>445</v>
      </c>
      <c r="D569" t="s">
        <v>18</v>
      </c>
      <c r="E569" t="s">
        <v>43</v>
      </c>
      <c r="F569" s="1">
        <v>46066</v>
      </c>
      <c r="G569" s="1">
        <v>46119</v>
      </c>
      <c r="H569" s="1">
        <v>46071</v>
      </c>
      <c r="I569" s="1"/>
      <c r="J569" s="2">
        <v>79898.740000000005</v>
      </c>
      <c r="K569" s="2">
        <v>62952.639999999999</v>
      </c>
      <c r="L569" s="2">
        <v>76871.23</v>
      </c>
      <c r="M569">
        <v>569</v>
      </c>
      <c r="N569">
        <v>378</v>
      </c>
      <c r="O569" t="s">
        <v>21</v>
      </c>
      <c r="P569" s="2">
        <f>Tabela1[[#This Row],[orcamento_aprovado]]-Tabela1[[#This Row],[custo_real_acumulado]]</f>
        <v>16946.100000000006</v>
      </c>
      <c r="Q569" t="str">
        <f>IF(Tabela1[[#This Row],[data_fim_real]]="","",Tabela1[[#This Row],[data_fim_real]]-Tabela1[[#This Row],[data_inicio_real]])</f>
        <v/>
      </c>
    </row>
    <row r="570" spans="1:17" ht="16.5" x14ac:dyDescent="0.5">
      <c r="A570" t="s">
        <v>1393</v>
      </c>
      <c r="B570" t="s">
        <v>1394</v>
      </c>
      <c r="C570" t="s">
        <v>1148</v>
      </c>
      <c r="D570" t="s">
        <v>142</v>
      </c>
      <c r="E570" t="s">
        <v>20</v>
      </c>
      <c r="F570" s="1">
        <v>46157</v>
      </c>
      <c r="G570" s="1">
        <v>46225</v>
      </c>
      <c r="H570" s="1">
        <v>46177</v>
      </c>
      <c r="I570" s="1">
        <v>46254</v>
      </c>
      <c r="J570" s="2">
        <v>180364.3</v>
      </c>
      <c r="K570" s="2">
        <v>180578.45</v>
      </c>
      <c r="L570" s="2">
        <v>213007.35999999999</v>
      </c>
      <c r="M570">
        <v>1950</v>
      </c>
      <c r="N570">
        <v>1619</v>
      </c>
      <c r="O570" t="s">
        <v>26</v>
      </c>
      <c r="P570" s="2">
        <f>Tabela1[[#This Row],[orcamento_aprovado]]-Tabela1[[#This Row],[custo_real_acumulado]]</f>
        <v>-214.15000000002328</v>
      </c>
      <c r="Q570">
        <f>IF(Tabela1[[#This Row],[data_fim_real]]="","",Tabela1[[#This Row],[data_fim_real]]-Tabela1[[#This Row],[data_inicio_real]])</f>
        <v>77</v>
      </c>
    </row>
    <row r="571" spans="1:17" ht="16.5" x14ac:dyDescent="0.5">
      <c r="A571" t="s">
        <v>1395</v>
      </c>
      <c r="B571" t="s">
        <v>1396</v>
      </c>
      <c r="C571" t="s">
        <v>218</v>
      </c>
      <c r="D571" t="s">
        <v>38</v>
      </c>
      <c r="E571" t="s">
        <v>19</v>
      </c>
      <c r="F571" s="1">
        <v>46313</v>
      </c>
      <c r="G571" s="1">
        <v>46345</v>
      </c>
      <c r="H571" s="1">
        <v>46325</v>
      </c>
      <c r="I571" s="1"/>
      <c r="J571" s="2">
        <v>88672.02</v>
      </c>
      <c r="K571" s="2">
        <v>91837.39</v>
      </c>
      <c r="L571" s="2">
        <v>93232.36</v>
      </c>
      <c r="M571">
        <v>621</v>
      </c>
      <c r="N571">
        <v>653</v>
      </c>
      <c r="O571" t="s">
        <v>34</v>
      </c>
      <c r="P571" s="2">
        <f>Tabela1[[#This Row],[orcamento_aprovado]]-Tabela1[[#This Row],[custo_real_acumulado]]</f>
        <v>-3165.3699999999953</v>
      </c>
      <c r="Q571" t="str">
        <f>IF(Tabela1[[#This Row],[data_fim_real]]="","",Tabela1[[#This Row],[data_fim_real]]-Tabela1[[#This Row],[data_inicio_real]])</f>
        <v/>
      </c>
    </row>
    <row r="572" spans="1:17" ht="16.5" x14ac:dyDescent="0.5">
      <c r="A572" t="s">
        <v>1397</v>
      </c>
      <c r="B572" t="s">
        <v>1398</v>
      </c>
      <c r="C572" t="s">
        <v>64</v>
      </c>
      <c r="D572" t="s">
        <v>58</v>
      </c>
      <c r="E572" t="s">
        <v>43</v>
      </c>
      <c r="F572" s="1">
        <v>46360</v>
      </c>
      <c r="G572" s="1">
        <v>46387</v>
      </c>
      <c r="H572" s="1">
        <v>46361</v>
      </c>
      <c r="I572" s="1"/>
      <c r="J572" s="2">
        <v>79506.03</v>
      </c>
      <c r="K572" s="2">
        <v>57936.27</v>
      </c>
      <c r="L572" s="2">
        <v>140845.5</v>
      </c>
      <c r="M572">
        <v>316</v>
      </c>
      <c r="N572">
        <v>209</v>
      </c>
      <c r="O572" t="s">
        <v>21</v>
      </c>
      <c r="P572" s="2">
        <f>Tabela1[[#This Row],[orcamento_aprovado]]-Tabela1[[#This Row],[custo_real_acumulado]]</f>
        <v>21569.760000000002</v>
      </c>
      <c r="Q572" t="str">
        <f>IF(Tabela1[[#This Row],[data_fim_real]]="","",Tabela1[[#This Row],[data_fim_real]]-Tabela1[[#This Row],[data_inicio_real]])</f>
        <v/>
      </c>
    </row>
    <row r="573" spans="1:17" ht="16.5" x14ac:dyDescent="0.5">
      <c r="A573" t="s">
        <v>1399</v>
      </c>
      <c r="B573" t="s">
        <v>1400</v>
      </c>
      <c r="C573" t="s">
        <v>677</v>
      </c>
      <c r="D573" t="s">
        <v>71</v>
      </c>
      <c r="E573" t="s">
        <v>42</v>
      </c>
      <c r="F573" s="1">
        <v>46052</v>
      </c>
      <c r="G573" s="1">
        <v>46081</v>
      </c>
      <c r="H573" s="1">
        <v>46054</v>
      </c>
      <c r="I573" s="1">
        <v>46079</v>
      </c>
      <c r="J573" s="2">
        <v>300218.71999999997</v>
      </c>
      <c r="K573" s="2">
        <v>354465.56</v>
      </c>
      <c r="L573" s="2">
        <v>151054.37</v>
      </c>
      <c r="M573">
        <v>952</v>
      </c>
      <c r="N573">
        <v>906</v>
      </c>
      <c r="O573" t="s">
        <v>26</v>
      </c>
      <c r="P573" s="2">
        <f>Tabela1[[#This Row],[orcamento_aprovado]]-Tabela1[[#This Row],[custo_real_acumulado]]</f>
        <v>-54246.840000000026</v>
      </c>
      <c r="Q573">
        <f>IF(Tabela1[[#This Row],[data_fim_real]]="","",Tabela1[[#This Row],[data_fim_real]]-Tabela1[[#This Row],[data_inicio_real]])</f>
        <v>25</v>
      </c>
    </row>
    <row r="574" spans="1:17" ht="16.5" x14ac:dyDescent="0.5">
      <c r="A574" t="s">
        <v>1401</v>
      </c>
      <c r="B574" t="s">
        <v>1402</v>
      </c>
      <c r="C574" t="s">
        <v>662</v>
      </c>
      <c r="D574" t="s">
        <v>58</v>
      </c>
      <c r="E574" t="s">
        <v>20</v>
      </c>
      <c r="F574" s="1">
        <v>46042</v>
      </c>
      <c r="G574" s="1">
        <v>46100</v>
      </c>
      <c r="H574" s="1"/>
      <c r="I574" s="1"/>
      <c r="J574" s="2">
        <v>248527.55</v>
      </c>
      <c r="K574" s="2">
        <v>0</v>
      </c>
      <c r="L574" s="2">
        <v>308853.7</v>
      </c>
      <c r="M574">
        <v>3017</v>
      </c>
      <c r="N574">
        <v>0</v>
      </c>
      <c r="O574" t="s">
        <v>34</v>
      </c>
      <c r="P574" s="2">
        <f>Tabela1[[#This Row],[orcamento_aprovado]]-Tabela1[[#This Row],[custo_real_acumulado]]</f>
        <v>248527.55</v>
      </c>
      <c r="Q574" t="str">
        <f>IF(Tabela1[[#This Row],[data_fim_real]]="","",Tabela1[[#This Row],[data_fim_real]]-Tabela1[[#This Row],[data_inicio_real]])</f>
        <v/>
      </c>
    </row>
    <row r="575" spans="1:17" ht="16.5" x14ac:dyDescent="0.5">
      <c r="A575" t="s">
        <v>1403</v>
      </c>
      <c r="B575" t="s">
        <v>1404</v>
      </c>
      <c r="C575" t="s">
        <v>727</v>
      </c>
      <c r="D575" t="s">
        <v>142</v>
      </c>
      <c r="E575" t="s">
        <v>43</v>
      </c>
      <c r="F575" s="1">
        <v>46144</v>
      </c>
      <c r="G575" s="1">
        <v>46186</v>
      </c>
      <c r="H575" s="1">
        <v>46150</v>
      </c>
      <c r="I575" s="1"/>
      <c r="J575" s="2">
        <v>74107.88</v>
      </c>
      <c r="K575" s="2">
        <v>8088.68</v>
      </c>
      <c r="L575" s="2">
        <v>94072.88</v>
      </c>
      <c r="M575">
        <v>839</v>
      </c>
      <c r="N575">
        <v>86</v>
      </c>
      <c r="O575" t="s">
        <v>21</v>
      </c>
      <c r="P575" s="2">
        <f>Tabela1[[#This Row],[orcamento_aprovado]]-Tabela1[[#This Row],[custo_real_acumulado]]</f>
        <v>66019.200000000012</v>
      </c>
      <c r="Q575" t="str">
        <f>IF(Tabela1[[#This Row],[data_fim_real]]="","",Tabela1[[#This Row],[data_fim_real]]-Tabela1[[#This Row],[data_inicio_real]])</f>
        <v/>
      </c>
    </row>
    <row r="576" spans="1:17" ht="16.5" x14ac:dyDescent="0.5">
      <c r="A576" t="s">
        <v>1405</v>
      </c>
      <c r="B576" t="s">
        <v>1406</v>
      </c>
      <c r="C576" t="s">
        <v>361</v>
      </c>
      <c r="D576" t="s">
        <v>33</v>
      </c>
      <c r="E576" t="s">
        <v>19</v>
      </c>
      <c r="F576" s="1">
        <v>46038</v>
      </c>
      <c r="G576" s="1">
        <v>46064</v>
      </c>
      <c r="H576" s="1">
        <v>46036</v>
      </c>
      <c r="I576" s="1">
        <v>46051</v>
      </c>
      <c r="J576" s="2">
        <v>255603.11</v>
      </c>
      <c r="K576" s="2">
        <v>300469.55</v>
      </c>
      <c r="L576" s="2">
        <v>316351.65000000002</v>
      </c>
      <c r="M576">
        <v>585</v>
      </c>
      <c r="N576">
        <v>698</v>
      </c>
      <c r="O576" t="s">
        <v>26</v>
      </c>
      <c r="P576" s="2">
        <f>Tabela1[[#This Row],[orcamento_aprovado]]-Tabela1[[#This Row],[custo_real_acumulado]]</f>
        <v>-44866.44</v>
      </c>
      <c r="Q576">
        <f>IF(Tabela1[[#This Row],[data_fim_real]]="","",Tabela1[[#This Row],[data_fim_real]]-Tabela1[[#This Row],[data_inicio_real]])</f>
        <v>15</v>
      </c>
    </row>
    <row r="577" spans="1:17" ht="16.5" x14ac:dyDescent="0.5">
      <c r="A577" t="s">
        <v>1407</v>
      </c>
      <c r="B577" t="s">
        <v>1408</v>
      </c>
      <c r="C577" t="s">
        <v>931</v>
      </c>
      <c r="D577" t="s">
        <v>33</v>
      </c>
      <c r="E577" t="s">
        <v>43</v>
      </c>
      <c r="F577" s="1">
        <v>46355</v>
      </c>
      <c r="G577" s="1">
        <v>46387</v>
      </c>
      <c r="H577" s="1">
        <v>46362</v>
      </c>
      <c r="I577" s="1"/>
      <c r="J577" s="2">
        <v>108300.56</v>
      </c>
      <c r="K577" s="2">
        <v>76232.649999999994</v>
      </c>
      <c r="L577" s="2">
        <v>47203.42</v>
      </c>
      <c r="M577">
        <v>666</v>
      </c>
      <c r="N577">
        <v>546</v>
      </c>
      <c r="O577" t="s">
        <v>34</v>
      </c>
      <c r="P577" s="2">
        <f>Tabela1[[#This Row],[orcamento_aprovado]]-Tabela1[[#This Row],[custo_real_acumulado]]</f>
        <v>32067.910000000003</v>
      </c>
      <c r="Q577" t="str">
        <f>IF(Tabela1[[#This Row],[data_fim_real]]="","",Tabela1[[#This Row],[data_fim_real]]-Tabela1[[#This Row],[data_inicio_real]])</f>
        <v/>
      </c>
    </row>
    <row r="578" spans="1:17" ht="16.5" x14ac:dyDescent="0.5">
      <c r="A578" t="s">
        <v>1409</v>
      </c>
      <c r="B578" t="s">
        <v>1410</v>
      </c>
      <c r="C578" t="s">
        <v>1010</v>
      </c>
      <c r="D578" t="s">
        <v>71</v>
      </c>
      <c r="E578" t="s">
        <v>43</v>
      </c>
      <c r="F578" s="1">
        <v>46147</v>
      </c>
      <c r="G578" s="1">
        <v>46204</v>
      </c>
      <c r="H578" s="1">
        <v>46153</v>
      </c>
      <c r="I578" s="1"/>
      <c r="J578" s="2">
        <v>50000</v>
      </c>
      <c r="K578" s="2">
        <v>18980.39</v>
      </c>
      <c r="L578" s="2">
        <v>56588.84</v>
      </c>
      <c r="M578">
        <v>1034</v>
      </c>
      <c r="N578">
        <v>343</v>
      </c>
      <c r="O578" t="s">
        <v>21</v>
      </c>
      <c r="P578" s="2">
        <f>Tabela1[[#This Row],[orcamento_aprovado]]-Tabela1[[#This Row],[custo_real_acumulado]]</f>
        <v>31019.61</v>
      </c>
      <c r="Q578" t="str">
        <f>IF(Tabela1[[#This Row],[data_fim_real]]="","",Tabela1[[#This Row],[data_fim_real]]-Tabela1[[#This Row],[data_inicio_real]])</f>
        <v/>
      </c>
    </row>
    <row r="579" spans="1:17" ht="16.5" x14ac:dyDescent="0.5">
      <c r="A579" t="s">
        <v>1411</v>
      </c>
      <c r="B579" t="s">
        <v>1412</v>
      </c>
      <c r="C579" t="s">
        <v>808</v>
      </c>
      <c r="D579" t="s">
        <v>50</v>
      </c>
      <c r="E579" t="s">
        <v>42</v>
      </c>
      <c r="F579" s="1">
        <v>46140</v>
      </c>
      <c r="G579" s="1">
        <v>46201</v>
      </c>
      <c r="H579" s="1">
        <v>46144</v>
      </c>
      <c r="I579" s="1"/>
      <c r="J579" s="2">
        <v>50000</v>
      </c>
      <c r="K579" s="2">
        <v>42939.48</v>
      </c>
      <c r="L579" s="2">
        <v>38683.06</v>
      </c>
      <c r="M579">
        <v>401</v>
      </c>
      <c r="N579">
        <v>291</v>
      </c>
      <c r="O579" t="s">
        <v>26</v>
      </c>
      <c r="P579" s="2">
        <f>Tabela1[[#This Row],[orcamento_aprovado]]-Tabela1[[#This Row],[custo_real_acumulado]]</f>
        <v>7060.5199999999968</v>
      </c>
      <c r="Q579" t="str">
        <f>IF(Tabela1[[#This Row],[data_fim_real]]="","",Tabela1[[#This Row],[data_fim_real]]-Tabela1[[#This Row],[data_inicio_real]])</f>
        <v/>
      </c>
    </row>
    <row r="580" spans="1:17" ht="16.5" x14ac:dyDescent="0.5">
      <c r="A580" t="s">
        <v>1413</v>
      </c>
      <c r="B580" t="s">
        <v>1414</v>
      </c>
      <c r="C580" t="s">
        <v>276</v>
      </c>
      <c r="D580" t="s">
        <v>33</v>
      </c>
      <c r="E580" t="s">
        <v>20</v>
      </c>
      <c r="F580" s="1">
        <v>46346</v>
      </c>
      <c r="G580" s="1">
        <v>46387</v>
      </c>
      <c r="H580" s="1">
        <v>46359</v>
      </c>
      <c r="I580" s="1">
        <v>46387</v>
      </c>
      <c r="J580" s="2">
        <v>173419.53</v>
      </c>
      <c r="K580" s="2">
        <v>21478.93</v>
      </c>
      <c r="L580" s="2">
        <v>282039.33</v>
      </c>
      <c r="M580">
        <v>777</v>
      </c>
      <c r="N580">
        <v>94</v>
      </c>
      <c r="O580" t="s">
        <v>34</v>
      </c>
      <c r="P580" s="2">
        <f>Tabela1[[#This Row],[orcamento_aprovado]]-Tabela1[[#This Row],[custo_real_acumulado]]</f>
        <v>151940.6</v>
      </c>
      <c r="Q580">
        <f>IF(Tabela1[[#This Row],[data_fim_real]]="","",Tabela1[[#This Row],[data_fim_real]]-Tabela1[[#This Row],[data_inicio_real]])</f>
        <v>28</v>
      </c>
    </row>
    <row r="581" spans="1:17" ht="16.5" x14ac:dyDescent="0.5">
      <c r="A581" t="s">
        <v>1415</v>
      </c>
      <c r="B581" t="s">
        <v>1416</v>
      </c>
      <c r="C581" t="s">
        <v>659</v>
      </c>
      <c r="D581" t="s">
        <v>142</v>
      </c>
      <c r="E581" t="s">
        <v>42</v>
      </c>
      <c r="F581" s="1">
        <v>46204</v>
      </c>
      <c r="G581" s="1">
        <v>46282</v>
      </c>
      <c r="H581" s="1">
        <v>46187</v>
      </c>
      <c r="I581" s="1">
        <v>46276</v>
      </c>
      <c r="J581" s="2">
        <v>278674.40000000002</v>
      </c>
      <c r="K581" s="2">
        <v>287099.56</v>
      </c>
      <c r="L581" s="2">
        <v>234782.52</v>
      </c>
      <c r="M581">
        <v>1769</v>
      </c>
      <c r="N581">
        <v>1806</v>
      </c>
      <c r="O581" t="s">
        <v>21</v>
      </c>
      <c r="P581" s="2">
        <f>Tabela1[[#This Row],[orcamento_aprovado]]-Tabela1[[#This Row],[custo_real_acumulado]]</f>
        <v>-8425.1599999999744</v>
      </c>
      <c r="Q581">
        <f>IF(Tabela1[[#This Row],[data_fim_real]]="","",Tabela1[[#This Row],[data_fim_real]]-Tabela1[[#This Row],[data_inicio_real]])</f>
        <v>89</v>
      </c>
    </row>
    <row r="582" spans="1:17" ht="16.5" x14ac:dyDescent="0.5">
      <c r="A582" t="s">
        <v>1417</v>
      </c>
      <c r="B582" t="s">
        <v>1418</v>
      </c>
      <c r="C582" t="s">
        <v>956</v>
      </c>
      <c r="D582" t="s">
        <v>38</v>
      </c>
      <c r="E582" t="s">
        <v>19</v>
      </c>
      <c r="F582" s="1">
        <v>46116</v>
      </c>
      <c r="G582" s="1">
        <v>46217</v>
      </c>
      <c r="H582" s="1">
        <v>46111</v>
      </c>
      <c r="I582" s="1"/>
      <c r="J582" s="2">
        <v>110595.6</v>
      </c>
      <c r="K582" s="2">
        <v>70756.17</v>
      </c>
      <c r="L582" s="2">
        <v>201295.42</v>
      </c>
      <c r="M582">
        <v>2103</v>
      </c>
      <c r="N582">
        <v>1325</v>
      </c>
      <c r="O582" t="s">
        <v>26</v>
      </c>
      <c r="P582" s="2">
        <f>Tabela1[[#This Row],[orcamento_aprovado]]-Tabela1[[#This Row],[custo_real_acumulado]]</f>
        <v>39839.430000000008</v>
      </c>
      <c r="Q582" t="str">
        <f>IF(Tabela1[[#This Row],[data_fim_real]]="","",Tabela1[[#This Row],[data_fim_real]]-Tabela1[[#This Row],[data_inicio_real]])</f>
        <v/>
      </c>
    </row>
    <row r="583" spans="1:17" ht="16.5" x14ac:dyDescent="0.5">
      <c r="A583" t="s">
        <v>1419</v>
      </c>
      <c r="B583" t="s">
        <v>1420</v>
      </c>
      <c r="C583" t="s">
        <v>416</v>
      </c>
      <c r="D583" t="s">
        <v>50</v>
      </c>
      <c r="E583" t="s">
        <v>42</v>
      </c>
      <c r="F583" s="1">
        <v>46311</v>
      </c>
      <c r="G583" s="1">
        <v>46371</v>
      </c>
      <c r="H583" s="1">
        <v>46320</v>
      </c>
      <c r="I583" s="1"/>
      <c r="J583" s="2">
        <v>50000</v>
      </c>
      <c r="K583" s="2">
        <v>27288.05</v>
      </c>
      <c r="L583" s="2">
        <v>40826.769999999997</v>
      </c>
      <c r="M583">
        <v>1749</v>
      </c>
      <c r="N583">
        <v>1079</v>
      </c>
      <c r="O583" t="s">
        <v>34</v>
      </c>
      <c r="P583" s="2">
        <f>Tabela1[[#This Row],[orcamento_aprovado]]-Tabela1[[#This Row],[custo_real_acumulado]]</f>
        <v>22711.95</v>
      </c>
      <c r="Q583" t="str">
        <f>IF(Tabela1[[#This Row],[data_fim_real]]="","",Tabela1[[#This Row],[data_fim_real]]-Tabela1[[#This Row],[data_inicio_real]])</f>
        <v/>
      </c>
    </row>
    <row r="584" spans="1:17" ht="16.5" x14ac:dyDescent="0.5">
      <c r="A584" t="s">
        <v>1421</v>
      </c>
      <c r="B584" t="s">
        <v>1422</v>
      </c>
      <c r="C584" t="s">
        <v>46</v>
      </c>
      <c r="D584" t="s">
        <v>25</v>
      </c>
      <c r="E584" t="s">
        <v>20</v>
      </c>
      <c r="F584" s="1">
        <v>46247</v>
      </c>
      <c r="G584" s="1">
        <v>46304</v>
      </c>
      <c r="H584" s="1">
        <v>46255</v>
      </c>
      <c r="I584" s="1"/>
      <c r="J584" s="2">
        <v>84383.35</v>
      </c>
      <c r="K584" s="2">
        <v>37434.33</v>
      </c>
      <c r="L584" s="2">
        <v>100613.9</v>
      </c>
      <c r="M584">
        <v>2601</v>
      </c>
      <c r="N584">
        <v>1424</v>
      </c>
      <c r="O584" t="s">
        <v>21</v>
      </c>
      <c r="P584" s="2">
        <f>Tabela1[[#This Row],[orcamento_aprovado]]-Tabela1[[#This Row],[custo_real_acumulado]]</f>
        <v>46949.020000000004</v>
      </c>
      <c r="Q584" t="str">
        <f>IF(Tabela1[[#This Row],[data_fim_real]]="","",Tabela1[[#This Row],[data_fim_real]]-Tabela1[[#This Row],[data_inicio_real]])</f>
        <v/>
      </c>
    </row>
    <row r="585" spans="1:17" ht="16.5" x14ac:dyDescent="0.5">
      <c r="A585" t="s">
        <v>1423</v>
      </c>
      <c r="B585" t="s">
        <v>1424</v>
      </c>
      <c r="C585" t="s">
        <v>129</v>
      </c>
      <c r="D585" t="s">
        <v>50</v>
      </c>
      <c r="E585" t="s">
        <v>20</v>
      </c>
      <c r="F585" s="1">
        <v>46122</v>
      </c>
      <c r="G585" s="1">
        <v>46190</v>
      </c>
      <c r="H585" s="1">
        <v>46130</v>
      </c>
      <c r="I585" s="1">
        <v>46204</v>
      </c>
      <c r="J585" s="2">
        <v>50000</v>
      </c>
      <c r="K585" s="2">
        <v>57869.36</v>
      </c>
      <c r="L585" s="2">
        <v>36056.49</v>
      </c>
      <c r="M585">
        <v>1400</v>
      </c>
      <c r="N585">
        <v>1664</v>
      </c>
      <c r="O585" t="s">
        <v>26</v>
      </c>
      <c r="P585" s="2">
        <f>Tabela1[[#This Row],[orcamento_aprovado]]-Tabela1[[#This Row],[custo_real_acumulado]]</f>
        <v>-7869.3600000000006</v>
      </c>
      <c r="Q585">
        <f>IF(Tabela1[[#This Row],[data_fim_real]]="","",Tabela1[[#This Row],[data_fim_real]]-Tabela1[[#This Row],[data_inicio_real]])</f>
        <v>74</v>
      </c>
    </row>
    <row r="586" spans="1:17" ht="16.5" x14ac:dyDescent="0.5">
      <c r="A586" t="s">
        <v>1425</v>
      </c>
      <c r="B586" t="s">
        <v>1426</v>
      </c>
      <c r="C586" t="s">
        <v>141</v>
      </c>
      <c r="D586" t="s">
        <v>71</v>
      </c>
      <c r="E586" t="s">
        <v>43</v>
      </c>
      <c r="F586" s="1">
        <v>46365</v>
      </c>
      <c r="G586" s="1">
        <v>46387</v>
      </c>
      <c r="H586" s="1">
        <v>46356</v>
      </c>
      <c r="I586" s="1"/>
      <c r="J586" s="2">
        <v>58219.61</v>
      </c>
      <c r="K586" s="2">
        <v>39016.1</v>
      </c>
      <c r="L586" s="2">
        <v>64077.45</v>
      </c>
      <c r="M586">
        <v>890</v>
      </c>
      <c r="N586">
        <v>653</v>
      </c>
      <c r="O586" t="s">
        <v>34</v>
      </c>
      <c r="P586" s="2">
        <f>Tabela1[[#This Row],[orcamento_aprovado]]-Tabela1[[#This Row],[custo_real_acumulado]]</f>
        <v>19203.510000000002</v>
      </c>
      <c r="Q586" t="str">
        <f>IF(Tabela1[[#This Row],[data_fim_real]]="","",Tabela1[[#This Row],[data_fim_real]]-Tabela1[[#This Row],[data_inicio_real]])</f>
        <v/>
      </c>
    </row>
    <row r="587" spans="1:17" ht="16.5" x14ac:dyDescent="0.5">
      <c r="A587" t="s">
        <v>1427</v>
      </c>
      <c r="B587" t="s">
        <v>1428</v>
      </c>
      <c r="C587" t="s">
        <v>974</v>
      </c>
      <c r="D587" t="s">
        <v>33</v>
      </c>
      <c r="E587" t="s">
        <v>43</v>
      </c>
      <c r="F587" s="1">
        <v>46308</v>
      </c>
      <c r="G587" s="1">
        <v>46385</v>
      </c>
      <c r="H587" s="1">
        <v>46318</v>
      </c>
      <c r="I587" s="1"/>
      <c r="J587" s="2">
        <v>111289.89</v>
      </c>
      <c r="K587" s="2">
        <v>35385.35</v>
      </c>
      <c r="L587" s="2">
        <v>86853.35</v>
      </c>
      <c r="M587">
        <v>2391</v>
      </c>
      <c r="N587">
        <v>924</v>
      </c>
      <c r="O587" t="s">
        <v>21</v>
      </c>
      <c r="P587" s="2">
        <f>Tabela1[[#This Row],[orcamento_aprovado]]-Tabela1[[#This Row],[custo_real_acumulado]]</f>
        <v>75904.540000000008</v>
      </c>
      <c r="Q587" t="str">
        <f>IF(Tabela1[[#This Row],[data_fim_real]]="","",Tabela1[[#This Row],[data_fim_real]]-Tabela1[[#This Row],[data_inicio_real]])</f>
        <v/>
      </c>
    </row>
    <row r="588" spans="1:17" ht="16.5" x14ac:dyDescent="0.5">
      <c r="A588" t="s">
        <v>1429</v>
      </c>
      <c r="B588" t="s">
        <v>1430</v>
      </c>
      <c r="C588" t="s">
        <v>483</v>
      </c>
      <c r="D588" t="s">
        <v>54</v>
      </c>
      <c r="E588" t="s">
        <v>43</v>
      </c>
      <c r="F588" s="1">
        <v>46132</v>
      </c>
      <c r="G588" s="1">
        <v>46194</v>
      </c>
      <c r="H588" s="1">
        <v>46132</v>
      </c>
      <c r="I588" s="1">
        <v>46213</v>
      </c>
      <c r="J588" s="2">
        <v>445610.67</v>
      </c>
      <c r="K588" s="2">
        <v>519523.86</v>
      </c>
      <c r="L588" s="2">
        <v>759200.09</v>
      </c>
      <c r="M588">
        <v>2888</v>
      </c>
      <c r="N588">
        <v>2731</v>
      </c>
      <c r="O588" t="s">
        <v>26</v>
      </c>
      <c r="P588" s="2">
        <f>Tabela1[[#This Row],[orcamento_aprovado]]-Tabela1[[#This Row],[custo_real_acumulado]]</f>
        <v>-73913.19</v>
      </c>
      <c r="Q588">
        <f>IF(Tabela1[[#This Row],[data_fim_real]]="","",Tabela1[[#This Row],[data_fim_real]]-Tabela1[[#This Row],[data_inicio_real]])</f>
        <v>81</v>
      </c>
    </row>
    <row r="589" spans="1:17" ht="16.5" x14ac:dyDescent="0.5">
      <c r="A589" t="s">
        <v>1431</v>
      </c>
      <c r="B589" t="s">
        <v>1432</v>
      </c>
      <c r="C589" t="s">
        <v>1005</v>
      </c>
      <c r="D589" t="s">
        <v>33</v>
      </c>
      <c r="E589" t="s">
        <v>43</v>
      </c>
      <c r="F589" s="1">
        <v>46365</v>
      </c>
      <c r="G589" s="1">
        <v>46387</v>
      </c>
      <c r="H589" s="1">
        <v>46354</v>
      </c>
      <c r="I589" s="1">
        <v>46387</v>
      </c>
      <c r="J589" s="2">
        <v>244556.2</v>
      </c>
      <c r="K589" s="2">
        <v>227281.74</v>
      </c>
      <c r="L589" s="2">
        <v>302901.34999999998</v>
      </c>
      <c r="M589">
        <v>1369</v>
      </c>
      <c r="N589">
        <v>1184</v>
      </c>
      <c r="O589" t="s">
        <v>34</v>
      </c>
      <c r="P589" s="2">
        <f>Tabela1[[#This Row],[orcamento_aprovado]]-Tabela1[[#This Row],[custo_real_acumulado]]</f>
        <v>17274.460000000021</v>
      </c>
      <c r="Q589">
        <f>IF(Tabela1[[#This Row],[data_fim_real]]="","",Tabela1[[#This Row],[data_fim_real]]-Tabela1[[#This Row],[data_inicio_real]])</f>
        <v>33</v>
      </c>
    </row>
    <row r="590" spans="1:17" ht="16.5" x14ac:dyDescent="0.5">
      <c r="A590" t="s">
        <v>1433</v>
      </c>
      <c r="B590" t="s">
        <v>1434</v>
      </c>
      <c r="C590" t="s">
        <v>974</v>
      </c>
      <c r="D590" t="s">
        <v>58</v>
      </c>
      <c r="E590" t="s">
        <v>20</v>
      </c>
      <c r="F590" s="1">
        <v>46379</v>
      </c>
      <c r="G590" s="1">
        <v>46387</v>
      </c>
      <c r="H590" s="1">
        <v>46373</v>
      </c>
      <c r="I590" s="1"/>
      <c r="J590" s="2">
        <v>125166.33</v>
      </c>
      <c r="K590" s="2">
        <v>98303.35</v>
      </c>
      <c r="L590" s="2">
        <v>206457.15</v>
      </c>
      <c r="M590">
        <v>932</v>
      </c>
      <c r="N590">
        <v>698</v>
      </c>
      <c r="O590" t="s">
        <v>21</v>
      </c>
      <c r="P590" s="2">
        <f>Tabela1[[#This Row],[orcamento_aprovado]]-Tabela1[[#This Row],[custo_real_acumulado]]</f>
        <v>26862.979999999996</v>
      </c>
      <c r="Q590" t="str">
        <f>IF(Tabela1[[#This Row],[data_fim_real]]="","",Tabela1[[#This Row],[data_fim_real]]-Tabela1[[#This Row],[data_inicio_real]])</f>
        <v/>
      </c>
    </row>
    <row r="591" spans="1:17" ht="16.5" x14ac:dyDescent="0.5">
      <c r="A591" t="s">
        <v>1435</v>
      </c>
      <c r="B591" t="s">
        <v>1436</v>
      </c>
      <c r="C591" t="s">
        <v>1307</v>
      </c>
      <c r="D591" t="s">
        <v>142</v>
      </c>
      <c r="E591" t="s">
        <v>43</v>
      </c>
      <c r="F591" s="1">
        <v>46227</v>
      </c>
      <c r="G591" s="1">
        <v>46305</v>
      </c>
      <c r="H591" s="1">
        <v>46224</v>
      </c>
      <c r="I591" s="1"/>
      <c r="J591" s="2">
        <v>243343.77</v>
      </c>
      <c r="K591" s="2">
        <v>113677.5</v>
      </c>
      <c r="L591" s="2">
        <v>226538.54</v>
      </c>
      <c r="M591">
        <v>2449</v>
      </c>
      <c r="N591">
        <v>1129</v>
      </c>
      <c r="O591" t="s">
        <v>26</v>
      </c>
      <c r="P591" s="2">
        <f>Tabela1[[#This Row],[orcamento_aprovado]]-Tabela1[[#This Row],[custo_real_acumulado]]</f>
        <v>129666.26999999999</v>
      </c>
      <c r="Q591" t="str">
        <f>IF(Tabela1[[#This Row],[data_fim_real]]="","",Tabela1[[#This Row],[data_fim_real]]-Tabela1[[#This Row],[data_inicio_real]])</f>
        <v/>
      </c>
    </row>
    <row r="592" spans="1:17" ht="16.5" x14ac:dyDescent="0.5">
      <c r="A592" t="s">
        <v>1437</v>
      </c>
      <c r="B592" t="s">
        <v>1438</v>
      </c>
      <c r="C592" t="s">
        <v>395</v>
      </c>
      <c r="D592" t="s">
        <v>50</v>
      </c>
      <c r="E592" t="s">
        <v>19</v>
      </c>
      <c r="F592" s="1">
        <v>46089</v>
      </c>
      <c r="G592" s="1">
        <v>46169</v>
      </c>
      <c r="H592" s="1">
        <v>46074</v>
      </c>
      <c r="I592" s="1">
        <v>46097</v>
      </c>
      <c r="J592" s="2">
        <v>52220.15</v>
      </c>
      <c r="K592" s="2">
        <v>5928.28</v>
      </c>
      <c r="L592" s="2">
        <v>52599.58</v>
      </c>
      <c r="M592">
        <v>1919</v>
      </c>
      <c r="N592">
        <v>267</v>
      </c>
      <c r="O592" t="s">
        <v>34</v>
      </c>
      <c r="P592" s="2">
        <f>Tabela1[[#This Row],[orcamento_aprovado]]-Tabela1[[#This Row],[custo_real_acumulado]]</f>
        <v>46291.87</v>
      </c>
      <c r="Q592">
        <f>IF(Tabela1[[#This Row],[data_fim_real]]="","",Tabela1[[#This Row],[data_fim_real]]-Tabela1[[#This Row],[data_inicio_real]])</f>
        <v>23</v>
      </c>
    </row>
    <row r="593" spans="1:17" ht="16.5" x14ac:dyDescent="0.5">
      <c r="A593" t="s">
        <v>1439</v>
      </c>
      <c r="B593" t="s">
        <v>1440</v>
      </c>
      <c r="C593" t="s">
        <v>406</v>
      </c>
      <c r="D593" t="s">
        <v>58</v>
      </c>
      <c r="E593" t="s">
        <v>19</v>
      </c>
      <c r="F593" s="1">
        <v>46214</v>
      </c>
      <c r="G593" s="1">
        <v>46282</v>
      </c>
      <c r="H593" s="1">
        <v>46218</v>
      </c>
      <c r="I593" s="1"/>
      <c r="J593" s="2">
        <v>62120.95</v>
      </c>
      <c r="K593" s="2">
        <v>44490.78</v>
      </c>
      <c r="L593" s="2">
        <v>114460.16</v>
      </c>
      <c r="M593">
        <v>1402</v>
      </c>
      <c r="N593">
        <v>904</v>
      </c>
      <c r="O593" t="s">
        <v>21</v>
      </c>
      <c r="P593" s="2">
        <f>Tabela1[[#This Row],[orcamento_aprovado]]-Tabela1[[#This Row],[custo_real_acumulado]]</f>
        <v>17630.169999999998</v>
      </c>
      <c r="Q593" t="str">
        <f>IF(Tabela1[[#This Row],[data_fim_real]]="","",Tabela1[[#This Row],[data_fim_real]]-Tabela1[[#This Row],[data_inicio_real]])</f>
        <v/>
      </c>
    </row>
    <row r="594" spans="1:17" ht="16.5" x14ac:dyDescent="0.5">
      <c r="A594" t="s">
        <v>1441</v>
      </c>
      <c r="B594" t="s">
        <v>1442</v>
      </c>
      <c r="C594" t="s">
        <v>460</v>
      </c>
      <c r="D594" t="s">
        <v>78</v>
      </c>
      <c r="E594" t="s">
        <v>20</v>
      </c>
      <c r="F594" s="1">
        <v>46086</v>
      </c>
      <c r="G594" s="1">
        <v>46153</v>
      </c>
      <c r="H594" s="1">
        <v>46087</v>
      </c>
      <c r="I594" s="1"/>
      <c r="J594" s="2">
        <v>164976.4</v>
      </c>
      <c r="K594" s="2">
        <v>107038.34</v>
      </c>
      <c r="L594" s="2">
        <v>191016.65</v>
      </c>
      <c r="M594">
        <v>2327</v>
      </c>
      <c r="N594">
        <v>1720</v>
      </c>
      <c r="O594" t="s">
        <v>26</v>
      </c>
      <c r="P594" s="2">
        <f>Tabela1[[#This Row],[orcamento_aprovado]]-Tabela1[[#This Row],[custo_real_acumulado]]</f>
        <v>57938.06</v>
      </c>
      <c r="Q594" t="str">
        <f>IF(Tabela1[[#This Row],[data_fim_real]]="","",Tabela1[[#This Row],[data_fim_real]]-Tabela1[[#This Row],[data_inicio_real]])</f>
        <v/>
      </c>
    </row>
    <row r="595" spans="1:17" ht="16.5" x14ac:dyDescent="0.5">
      <c r="A595" t="s">
        <v>1443</v>
      </c>
      <c r="B595" t="s">
        <v>1444</v>
      </c>
      <c r="C595" t="s">
        <v>1445</v>
      </c>
      <c r="D595" t="s">
        <v>142</v>
      </c>
      <c r="E595" t="s">
        <v>20</v>
      </c>
      <c r="F595" s="1">
        <v>46188</v>
      </c>
      <c r="G595" s="1">
        <v>46297</v>
      </c>
      <c r="H595" s="1">
        <v>46189</v>
      </c>
      <c r="I595" s="1"/>
      <c r="J595" s="2">
        <v>82804.95</v>
      </c>
      <c r="K595" s="2">
        <v>23260.91</v>
      </c>
      <c r="L595" s="2">
        <v>41928.620000000003</v>
      </c>
      <c r="M595">
        <v>1523</v>
      </c>
      <c r="N595">
        <v>456</v>
      </c>
      <c r="O595" t="s">
        <v>34</v>
      </c>
      <c r="P595" s="2">
        <f>Tabela1[[#This Row],[orcamento_aprovado]]-Tabela1[[#This Row],[custo_real_acumulado]]</f>
        <v>59544.039999999994</v>
      </c>
      <c r="Q595" t="str">
        <f>IF(Tabela1[[#This Row],[data_fim_real]]="","",Tabela1[[#This Row],[data_fim_real]]-Tabela1[[#This Row],[data_inicio_real]])</f>
        <v/>
      </c>
    </row>
    <row r="596" spans="1:17" ht="16.5" x14ac:dyDescent="0.5">
      <c r="A596" t="s">
        <v>1446</v>
      </c>
      <c r="B596" t="s">
        <v>1447</v>
      </c>
      <c r="C596" t="s">
        <v>630</v>
      </c>
      <c r="D596" t="s">
        <v>58</v>
      </c>
      <c r="E596" t="s">
        <v>43</v>
      </c>
      <c r="F596" s="1">
        <v>46148</v>
      </c>
      <c r="G596" s="1">
        <v>46193</v>
      </c>
      <c r="H596" s="1">
        <v>46128</v>
      </c>
      <c r="I596" s="1">
        <v>46190</v>
      </c>
      <c r="J596" s="2">
        <v>510606.79</v>
      </c>
      <c r="K596" s="2">
        <v>513084.36</v>
      </c>
      <c r="L596" s="2">
        <v>396988.92</v>
      </c>
      <c r="M596">
        <v>1297</v>
      </c>
      <c r="N596">
        <v>1343</v>
      </c>
      <c r="O596" t="s">
        <v>21</v>
      </c>
      <c r="P596" s="2">
        <f>Tabela1[[#This Row],[orcamento_aprovado]]-Tabela1[[#This Row],[custo_real_acumulado]]</f>
        <v>-2477.570000000007</v>
      </c>
      <c r="Q596">
        <f>IF(Tabela1[[#This Row],[data_fim_real]]="","",Tabela1[[#This Row],[data_fim_real]]-Tabela1[[#This Row],[data_inicio_real]])</f>
        <v>62</v>
      </c>
    </row>
    <row r="597" spans="1:17" ht="16.5" x14ac:dyDescent="0.5">
      <c r="A597" t="s">
        <v>1448</v>
      </c>
      <c r="B597" t="s">
        <v>1449</v>
      </c>
      <c r="C597" t="s">
        <v>1450</v>
      </c>
      <c r="D597" t="s">
        <v>33</v>
      </c>
      <c r="E597" t="s">
        <v>43</v>
      </c>
      <c r="F597" s="1">
        <v>46071</v>
      </c>
      <c r="G597" s="1">
        <v>46187</v>
      </c>
      <c r="H597" s="1">
        <v>46068</v>
      </c>
      <c r="I597" s="1"/>
      <c r="J597" s="2">
        <v>66674.720000000001</v>
      </c>
      <c r="K597" s="2">
        <v>68166.460000000006</v>
      </c>
      <c r="L597" s="2">
        <v>33890.33</v>
      </c>
      <c r="M597">
        <v>6829</v>
      </c>
      <c r="N597">
        <v>6836</v>
      </c>
      <c r="O597" t="s">
        <v>26</v>
      </c>
      <c r="P597" s="2">
        <f>Tabela1[[#This Row],[orcamento_aprovado]]-Tabela1[[#This Row],[custo_real_acumulado]]</f>
        <v>-1491.7400000000052</v>
      </c>
      <c r="Q597" t="str">
        <f>IF(Tabela1[[#This Row],[data_fim_real]]="","",Tabela1[[#This Row],[data_fim_real]]-Tabela1[[#This Row],[data_inicio_real]])</f>
        <v/>
      </c>
    </row>
    <row r="598" spans="1:17" ht="16.5" x14ac:dyDescent="0.5">
      <c r="A598" t="s">
        <v>1451</v>
      </c>
      <c r="B598" t="s">
        <v>1452</v>
      </c>
      <c r="C598" t="s">
        <v>57</v>
      </c>
      <c r="D598" t="s">
        <v>38</v>
      </c>
      <c r="E598" t="s">
        <v>19</v>
      </c>
      <c r="F598" s="1">
        <v>46329</v>
      </c>
      <c r="G598" s="1">
        <v>46387</v>
      </c>
      <c r="H598" s="1"/>
      <c r="I598" s="1"/>
      <c r="J598" s="2">
        <v>251834.98</v>
      </c>
      <c r="K598" s="2">
        <v>0</v>
      </c>
      <c r="L598" s="2">
        <v>510888.79</v>
      </c>
      <c r="M598">
        <v>1725</v>
      </c>
      <c r="N598">
        <v>0</v>
      </c>
      <c r="O598" t="s">
        <v>34</v>
      </c>
      <c r="P598" s="2">
        <f>Tabela1[[#This Row],[orcamento_aprovado]]-Tabela1[[#This Row],[custo_real_acumulado]]</f>
        <v>251834.98</v>
      </c>
      <c r="Q598" t="str">
        <f>IF(Tabela1[[#This Row],[data_fim_real]]="","",Tabela1[[#This Row],[data_fim_real]]-Tabela1[[#This Row],[data_inicio_real]])</f>
        <v/>
      </c>
    </row>
    <row r="599" spans="1:17" ht="16.5" x14ac:dyDescent="0.5">
      <c r="A599" t="s">
        <v>1453</v>
      </c>
      <c r="B599" t="s">
        <v>1454</v>
      </c>
      <c r="C599" t="s">
        <v>409</v>
      </c>
      <c r="D599" t="s">
        <v>50</v>
      </c>
      <c r="E599" t="s">
        <v>42</v>
      </c>
      <c r="F599" s="1">
        <v>46105</v>
      </c>
      <c r="G599" s="1">
        <v>46119</v>
      </c>
      <c r="H599" s="1"/>
      <c r="I599" s="1"/>
      <c r="J599" s="2">
        <v>50000</v>
      </c>
      <c r="K599" s="2">
        <v>0</v>
      </c>
      <c r="L599" s="2">
        <v>46626.65</v>
      </c>
      <c r="M599">
        <v>736</v>
      </c>
      <c r="N599">
        <v>0</v>
      </c>
      <c r="O599" t="s">
        <v>21</v>
      </c>
      <c r="P599" s="2">
        <f>Tabela1[[#This Row],[orcamento_aprovado]]-Tabela1[[#This Row],[custo_real_acumulado]]</f>
        <v>50000</v>
      </c>
      <c r="Q599" t="str">
        <f>IF(Tabela1[[#This Row],[data_fim_real]]="","",Tabela1[[#This Row],[data_fim_real]]-Tabela1[[#This Row],[data_inicio_real]])</f>
        <v/>
      </c>
    </row>
    <row r="600" spans="1:17" ht="16.5" x14ac:dyDescent="0.5">
      <c r="A600" t="s">
        <v>1455</v>
      </c>
      <c r="B600" t="s">
        <v>1456</v>
      </c>
      <c r="C600" t="s">
        <v>891</v>
      </c>
      <c r="D600" t="s">
        <v>38</v>
      </c>
      <c r="E600" t="s">
        <v>20</v>
      </c>
      <c r="F600" s="1">
        <v>46161</v>
      </c>
      <c r="G600" s="1">
        <v>46260</v>
      </c>
      <c r="H600" s="1">
        <v>46167</v>
      </c>
      <c r="I600" s="1">
        <v>46211</v>
      </c>
      <c r="J600" s="2">
        <v>152323.59</v>
      </c>
      <c r="K600" s="2">
        <v>65655.48</v>
      </c>
      <c r="L600" s="2">
        <v>49771.94</v>
      </c>
      <c r="M600">
        <v>4024</v>
      </c>
      <c r="N600">
        <v>1323</v>
      </c>
      <c r="O600" t="s">
        <v>26</v>
      </c>
      <c r="P600" s="2">
        <f>Tabela1[[#This Row],[orcamento_aprovado]]-Tabela1[[#This Row],[custo_real_acumulado]]</f>
        <v>86668.11</v>
      </c>
      <c r="Q600">
        <f>IF(Tabela1[[#This Row],[data_fim_real]]="","",Tabela1[[#This Row],[data_fim_real]]-Tabela1[[#This Row],[data_inicio_real]])</f>
        <v>44</v>
      </c>
    </row>
    <row r="601" spans="1:17" ht="16.5" x14ac:dyDescent="0.5">
      <c r="A601" t="s">
        <v>1457</v>
      </c>
      <c r="B601" t="s">
        <v>1458</v>
      </c>
      <c r="C601" t="s">
        <v>132</v>
      </c>
      <c r="D601" t="s">
        <v>71</v>
      </c>
      <c r="E601" t="s">
        <v>42</v>
      </c>
      <c r="F601" s="1">
        <v>46291</v>
      </c>
      <c r="G601" s="1">
        <v>46376</v>
      </c>
      <c r="H601" s="1">
        <v>46301</v>
      </c>
      <c r="I601" s="1"/>
      <c r="J601" s="2">
        <v>77670.87</v>
      </c>
      <c r="K601" s="2">
        <v>39136.839999999997</v>
      </c>
      <c r="L601" s="2">
        <v>159358.54</v>
      </c>
      <c r="M601">
        <v>2219</v>
      </c>
      <c r="N601">
        <v>1345</v>
      </c>
      <c r="O601" t="s">
        <v>34</v>
      </c>
      <c r="P601" s="2">
        <f>Tabela1[[#This Row],[orcamento_aprovado]]-Tabela1[[#This Row],[custo_real_acumulado]]</f>
        <v>38534.03</v>
      </c>
      <c r="Q601" t="str">
        <f>IF(Tabela1[[#This Row],[data_fim_real]]="","",Tabela1[[#This Row],[data_fim_real]]-Tabela1[[#This Row],[data_inicio_real]])</f>
        <v/>
      </c>
    </row>
    <row r="602" spans="1:17" ht="16.5" x14ac:dyDescent="0.5">
      <c r="A602" t="s">
        <v>1459</v>
      </c>
      <c r="B602" t="s">
        <v>1460</v>
      </c>
      <c r="C602" t="s">
        <v>422</v>
      </c>
      <c r="D602" t="s">
        <v>71</v>
      </c>
      <c r="E602" t="s">
        <v>20</v>
      </c>
      <c r="F602" s="1">
        <v>46348</v>
      </c>
      <c r="G602" s="1">
        <v>46362</v>
      </c>
      <c r="H602" s="1">
        <v>46340</v>
      </c>
      <c r="I602" s="1"/>
      <c r="J602" s="2">
        <v>336290.62</v>
      </c>
      <c r="K602" s="2">
        <v>174078.83</v>
      </c>
      <c r="L602" s="2">
        <v>125005.92</v>
      </c>
      <c r="M602">
        <v>505</v>
      </c>
      <c r="N602">
        <v>310</v>
      </c>
      <c r="O602" t="s">
        <v>21</v>
      </c>
      <c r="P602" s="2">
        <f>Tabela1[[#This Row],[orcamento_aprovado]]-Tabela1[[#This Row],[custo_real_acumulado]]</f>
        <v>162211.79</v>
      </c>
      <c r="Q602" t="str">
        <f>IF(Tabela1[[#This Row],[data_fim_real]]="","",Tabela1[[#This Row],[data_fim_real]]-Tabela1[[#This Row],[data_inicio_real]])</f>
        <v/>
      </c>
    </row>
    <row r="603" spans="1:17" ht="16.5" x14ac:dyDescent="0.5">
      <c r="A603" t="s">
        <v>1461</v>
      </c>
      <c r="B603" t="s">
        <v>1462</v>
      </c>
      <c r="C603" t="s">
        <v>1047</v>
      </c>
      <c r="D603" t="s">
        <v>50</v>
      </c>
      <c r="E603" t="s">
        <v>20</v>
      </c>
      <c r="F603" s="1">
        <v>46157</v>
      </c>
      <c r="G603" s="1">
        <v>46182</v>
      </c>
      <c r="H603" s="1">
        <v>46169</v>
      </c>
      <c r="I603" s="1"/>
      <c r="J603" s="2">
        <v>50000</v>
      </c>
      <c r="K603" s="2">
        <v>16908.560000000001</v>
      </c>
      <c r="L603" s="2">
        <v>67910.45</v>
      </c>
      <c r="M603">
        <v>844</v>
      </c>
      <c r="N603">
        <v>363</v>
      </c>
      <c r="O603" t="s">
        <v>26</v>
      </c>
      <c r="P603" s="2">
        <f>Tabela1[[#This Row],[orcamento_aprovado]]-Tabela1[[#This Row],[custo_real_acumulado]]</f>
        <v>33091.440000000002</v>
      </c>
      <c r="Q603" t="str">
        <f>IF(Tabela1[[#This Row],[data_fim_real]]="","",Tabela1[[#This Row],[data_fim_real]]-Tabela1[[#This Row],[data_inicio_real]])</f>
        <v/>
      </c>
    </row>
    <row r="604" spans="1:17" ht="16.5" x14ac:dyDescent="0.5">
      <c r="A604" t="s">
        <v>1463</v>
      </c>
      <c r="B604" t="s">
        <v>1464</v>
      </c>
      <c r="C604" t="s">
        <v>1465</v>
      </c>
      <c r="D604" t="s">
        <v>58</v>
      </c>
      <c r="E604" t="s">
        <v>42</v>
      </c>
      <c r="F604" s="1">
        <v>46188</v>
      </c>
      <c r="G604" s="1">
        <v>46238</v>
      </c>
      <c r="H604" s="1">
        <v>46185</v>
      </c>
      <c r="I604" s="1"/>
      <c r="J604" s="2">
        <v>50000</v>
      </c>
      <c r="K604" s="2">
        <v>26153.71</v>
      </c>
      <c r="L604" s="2">
        <v>51368.3</v>
      </c>
      <c r="M604">
        <v>1230</v>
      </c>
      <c r="N604">
        <v>585</v>
      </c>
      <c r="O604" t="s">
        <v>34</v>
      </c>
      <c r="P604" s="2">
        <f>Tabela1[[#This Row],[orcamento_aprovado]]-Tabela1[[#This Row],[custo_real_acumulado]]</f>
        <v>23846.29</v>
      </c>
      <c r="Q604" t="str">
        <f>IF(Tabela1[[#This Row],[data_fim_real]]="","",Tabela1[[#This Row],[data_fim_real]]-Tabela1[[#This Row],[data_inicio_real]])</f>
        <v/>
      </c>
    </row>
    <row r="605" spans="1:17" ht="16.5" x14ac:dyDescent="0.5">
      <c r="A605" t="s">
        <v>1466</v>
      </c>
      <c r="B605" t="s">
        <v>1467</v>
      </c>
      <c r="C605" t="s">
        <v>381</v>
      </c>
      <c r="D605" t="s">
        <v>50</v>
      </c>
      <c r="E605" t="s">
        <v>43</v>
      </c>
      <c r="F605" s="1">
        <v>46185</v>
      </c>
      <c r="G605" s="1">
        <v>46234</v>
      </c>
      <c r="H605" s="1">
        <v>46180</v>
      </c>
      <c r="I605" s="1"/>
      <c r="J605" s="2">
        <v>109782.24</v>
      </c>
      <c r="K605" s="2">
        <v>5033.78</v>
      </c>
      <c r="L605" s="2">
        <v>40391.300000000003</v>
      </c>
      <c r="M605">
        <v>1867</v>
      </c>
      <c r="N605">
        <v>75</v>
      </c>
      <c r="O605" t="s">
        <v>21</v>
      </c>
      <c r="P605" s="2">
        <f>Tabela1[[#This Row],[orcamento_aprovado]]-Tabela1[[#This Row],[custo_real_acumulado]]</f>
        <v>104748.46</v>
      </c>
      <c r="Q605" t="str">
        <f>IF(Tabela1[[#This Row],[data_fim_real]]="","",Tabela1[[#This Row],[data_fim_real]]-Tabela1[[#This Row],[data_inicio_real]])</f>
        <v/>
      </c>
    </row>
    <row r="606" spans="1:17" ht="16.5" x14ac:dyDescent="0.5">
      <c r="A606" t="s">
        <v>1468</v>
      </c>
      <c r="B606" t="s">
        <v>1469</v>
      </c>
      <c r="C606" t="s">
        <v>578</v>
      </c>
      <c r="D606" t="s">
        <v>50</v>
      </c>
      <c r="E606" t="s">
        <v>19</v>
      </c>
      <c r="F606" s="1">
        <v>46200</v>
      </c>
      <c r="G606" s="1">
        <v>46291</v>
      </c>
      <c r="H606" s="1">
        <v>46200</v>
      </c>
      <c r="I606" s="1">
        <v>46290</v>
      </c>
      <c r="J606" s="2">
        <v>114507.18</v>
      </c>
      <c r="K606" s="2">
        <v>134941.04</v>
      </c>
      <c r="L606" s="2">
        <v>141618.67000000001</v>
      </c>
      <c r="M606">
        <v>3336</v>
      </c>
      <c r="N606">
        <v>2688</v>
      </c>
      <c r="O606" t="s">
        <v>26</v>
      </c>
      <c r="P606" s="2">
        <f>Tabela1[[#This Row],[orcamento_aprovado]]-Tabela1[[#This Row],[custo_real_acumulado]]</f>
        <v>-20433.860000000015</v>
      </c>
      <c r="Q606">
        <f>IF(Tabela1[[#This Row],[data_fim_real]]="","",Tabela1[[#This Row],[data_fim_real]]-Tabela1[[#This Row],[data_inicio_real]])</f>
        <v>90</v>
      </c>
    </row>
    <row r="607" spans="1:17" ht="16.5" x14ac:dyDescent="0.5">
      <c r="A607" t="s">
        <v>1470</v>
      </c>
      <c r="B607" t="s">
        <v>1471</v>
      </c>
      <c r="C607" t="s">
        <v>1472</v>
      </c>
      <c r="D607" t="s">
        <v>25</v>
      </c>
      <c r="E607" t="s">
        <v>43</v>
      </c>
      <c r="F607" s="1">
        <v>46333</v>
      </c>
      <c r="G607" s="1">
        <v>46387</v>
      </c>
      <c r="H607" s="1">
        <v>46328</v>
      </c>
      <c r="I607" s="1">
        <v>46387</v>
      </c>
      <c r="J607" s="2">
        <v>520331.85</v>
      </c>
      <c r="K607" s="2">
        <v>448912.51</v>
      </c>
      <c r="L607" s="2">
        <v>620066.81999999995</v>
      </c>
      <c r="M607">
        <v>1389</v>
      </c>
      <c r="N607">
        <v>1605</v>
      </c>
      <c r="O607" t="s">
        <v>34</v>
      </c>
      <c r="P607" s="2">
        <f>Tabela1[[#This Row],[orcamento_aprovado]]-Tabela1[[#This Row],[custo_real_acumulado]]</f>
        <v>71419.339999999967</v>
      </c>
      <c r="Q607">
        <f>IF(Tabela1[[#This Row],[data_fim_real]]="","",Tabela1[[#This Row],[data_fim_real]]-Tabela1[[#This Row],[data_inicio_real]])</f>
        <v>59</v>
      </c>
    </row>
    <row r="608" spans="1:17" ht="16.5" x14ac:dyDescent="0.5">
      <c r="A608" t="s">
        <v>1473</v>
      </c>
      <c r="B608" t="s">
        <v>1474</v>
      </c>
      <c r="C608" t="s">
        <v>765</v>
      </c>
      <c r="D608" t="s">
        <v>25</v>
      </c>
      <c r="E608" t="s">
        <v>43</v>
      </c>
      <c r="F608" s="1">
        <v>46042</v>
      </c>
      <c r="G608" s="1">
        <v>46088</v>
      </c>
      <c r="H608" s="1">
        <v>46036</v>
      </c>
      <c r="I608" s="1">
        <v>46063</v>
      </c>
      <c r="J608" s="2">
        <v>69349.41</v>
      </c>
      <c r="K608" s="2">
        <v>65376.81</v>
      </c>
      <c r="L608" s="2">
        <v>139576.78</v>
      </c>
      <c r="M608">
        <v>794</v>
      </c>
      <c r="N608">
        <v>768</v>
      </c>
      <c r="O608" t="s">
        <v>21</v>
      </c>
      <c r="P608" s="2">
        <f>Tabela1[[#This Row],[orcamento_aprovado]]-Tabela1[[#This Row],[custo_real_acumulado]]</f>
        <v>3972.6000000000058</v>
      </c>
      <c r="Q608">
        <f>IF(Tabela1[[#This Row],[data_fim_real]]="","",Tabela1[[#This Row],[data_fim_real]]-Tabela1[[#This Row],[data_inicio_real]])</f>
        <v>27</v>
      </c>
    </row>
    <row r="609" spans="1:17" ht="16.5" x14ac:dyDescent="0.5">
      <c r="A609" t="s">
        <v>1475</v>
      </c>
      <c r="B609" t="s">
        <v>1476</v>
      </c>
      <c r="C609" t="s">
        <v>571</v>
      </c>
      <c r="D609" t="s">
        <v>33</v>
      </c>
      <c r="E609" t="s">
        <v>19</v>
      </c>
      <c r="F609" s="1">
        <v>46031</v>
      </c>
      <c r="G609" s="1">
        <v>46105</v>
      </c>
      <c r="H609" s="1">
        <v>46023</v>
      </c>
      <c r="I609" s="1">
        <v>46129</v>
      </c>
      <c r="J609" s="2">
        <v>50000</v>
      </c>
      <c r="K609" s="2">
        <v>45298.38</v>
      </c>
      <c r="L609" s="2">
        <v>63748.44</v>
      </c>
      <c r="M609">
        <v>3889</v>
      </c>
      <c r="N609">
        <v>4243</v>
      </c>
      <c r="O609" t="s">
        <v>26</v>
      </c>
      <c r="P609" s="2">
        <f>Tabela1[[#This Row],[orcamento_aprovado]]-Tabela1[[#This Row],[custo_real_acumulado]]</f>
        <v>4701.6200000000026</v>
      </c>
      <c r="Q609">
        <f>IF(Tabela1[[#This Row],[data_fim_real]]="","",Tabela1[[#This Row],[data_fim_real]]-Tabela1[[#This Row],[data_inicio_real]])</f>
        <v>106</v>
      </c>
    </row>
    <row r="610" spans="1:17" ht="16.5" x14ac:dyDescent="0.5">
      <c r="A610" t="s">
        <v>1477</v>
      </c>
      <c r="B610" t="s">
        <v>1478</v>
      </c>
      <c r="C610" t="s">
        <v>1083</v>
      </c>
      <c r="D610" t="s">
        <v>58</v>
      </c>
      <c r="E610" t="s">
        <v>19</v>
      </c>
      <c r="F610" s="1">
        <v>46124</v>
      </c>
      <c r="G610" s="1">
        <v>46187</v>
      </c>
      <c r="H610" s="1">
        <v>46146</v>
      </c>
      <c r="I610" s="1"/>
      <c r="J610" s="2">
        <v>50000</v>
      </c>
      <c r="K610" s="2">
        <v>8848.16</v>
      </c>
      <c r="L610" s="2">
        <v>95667.56</v>
      </c>
      <c r="M610">
        <v>1610</v>
      </c>
      <c r="N610">
        <v>298</v>
      </c>
      <c r="O610" t="s">
        <v>34</v>
      </c>
      <c r="P610" s="2">
        <f>Tabela1[[#This Row],[orcamento_aprovado]]-Tabela1[[#This Row],[custo_real_acumulado]]</f>
        <v>41151.839999999997</v>
      </c>
      <c r="Q610" t="str">
        <f>IF(Tabela1[[#This Row],[data_fim_real]]="","",Tabela1[[#This Row],[data_fim_real]]-Tabela1[[#This Row],[data_inicio_real]])</f>
        <v/>
      </c>
    </row>
    <row r="611" spans="1:17" ht="16.5" x14ac:dyDescent="0.5">
      <c r="A611" t="s">
        <v>1479</v>
      </c>
      <c r="B611" t="s">
        <v>1480</v>
      </c>
      <c r="C611" t="s">
        <v>340</v>
      </c>
      <c r="D611" t="s">
        <v>18</v>
      </c>
      <c r="E611" t="s">
        <v>20</v>
      </c>
      <c r="F611" s="1">
        <v>46185</v>
      </c>
      <c r="G611" s="1">
        <v>46293</v>
      </c>
      <c r="H611" s="1">
        <v>46195</v>
      </c>
      <c r="I611" s="1"/>
      <c r="J611" s="2">
        <v>56085.61</v>
      </c>
      <c r="K611" s="2">
        <v>23153.14</v>
      </c>
      <c r="L611" s="2">
        <v>49373.3</v>
      </c>
      <c r="M611">
        <v>2234</v>
      </c>
      <c r="N611">
        <v>916</v>
      </c>
      <c r="O611" t="s">
        <v>21</v>
      </c>
      <c r="P611" s="2">
        <f>Tabela1[[#This Row],[orcamento_aprovado]]-Tabela1[[#This Row],[custo_real_acumulado]]</f>
        <v>32932.47</v>
      </c>
      <c r="Q611" t="str">
        <f>IF(Tabela1[[#This Row],[data_fim_real]]="","",Tabela1[[#This Row],[data_fim_real]]-Tabela1[[#This Row],[data_inicio_real]])</f>
        <v/>
      </c>
    </row>
    <row r="612" spans="1:17" ht="16.5" x14ac:dyDescent="0.5">
      <c r="A612" t="s">
        <v>1481</v>
      </c>
      <c r="B612" t="s">
        <v>1482</v>
      </c>
      <c r="C612" t="s">
        <v>1005</v>
      </c>
      <c r="D612" t="s">
        <v>78</v>
      </c>
      <c r="E612" t="s">
        <v>43</v>
      </c>
      <c r="F612" s="1">
        <v>46234</v>
      </c>
      <c r="G612" s="1">
        <v>46315</v>
      </c>
      <c r="H612" s="1">
        <v>46228</v>
      </c>
      <c r="I612" s="1"/>
      <c r="J612" s="2">
        <v>111355.38</v>
      </c>
      <c r="K612" s="2">
        <v>69756.75</v>
      </c>
      <c r="L612" s="2">
        <v>148055.03</v>
      </c>
      <c r="M612">
        <v>2246</v>
      </c>
      <c r="N612">
        <v>1429</v>
      </c>
      <c r="O612" t="s">
        <v>26</v>
      </c>
      <c r="P612" s="2">
        <f>Tabela1[[#This Row],[orcamento_aprovado]]-Tabela1[[#This Row],[custo_real_acumulado]]</f>
        <v>41598.630000000005</v>
      </c>
      <c r="Q612" t="str">
        <f>IF(Tabela1[[#This Row],[data_fim_real]]="","",Tabela1[[#This Row],[data_fim_real]]-Tabela1[[#This Row],[data_inicio_real]])</f>
        <v/>
      </c>
    </row>
    <row r="613" spans="1:17" ht="16.5" x14ac:dyDescent="0.5">
      <c r="A613" t="s">
        <v>1483</v>
      </c>
      <c r="B613" t="s">
        <v>1484</v>
      </c>
      <c r="C613" t="s">
        <v>1485</v>
      </c>
      <c r="D613" t="s">
        <v>25</v>
      </c>
      <c r="E613" t="s">
        <v>43</v>
      </c>
      <c r="F613" s="1">
        <v>46110</v>
      </c>
      <c r="G613" s="1">
        <v>46163</v>
      </c>
      <c r="H613" s="1">
        <v>46106</v>
      </c>
      <c r="I613" s="1"/>
      <c r="J613" s="2">
        <v>111661.3</v>
      </c>
      <c r="K613" s="2">
        <v>6667.32</v>
      </c>
      <c r="L613" s="2">
        <v>203134.17</v>
      </c>
      <c r="M613">
        <v>1974</v>
      </c>
      <c r="N613">
        <v>87</v>
      </c>
      <c r="O613" t="s">
        <v>34</v>
      </c>
      <c r="P613" s="2">
        <f>Tabela1[[#This Row],[orcamento_aprovado]]-Tabela1[[#This Row],[custo_real_acumulado]]</f>
        <v>104993.98000000001</v>
      </c>
      <c r="Q613" t="str">
        <f>IF(Tabela1[[#This Row],[data_fim_real]]="","",Tabela1[[#This Row],[data_fim_real]]-Tabela1[[#This Row],[data_inicio_real]])</f>
        <v/>
      </c>
    </row>
    <row r="614" spans="1:17" ht="16.5" x14ac:dyDescent="0.5">
      <c r="A614" t="s">
        <v>1486</v>
      </c>
      <c r="B614" t="s">
        <v>1487</v>
      </c>
      <c r="C614" t="s">
        <v>230</v>
      </c>
      <c r="D614" t="s">
        <v>78</v>
      </c>
      <c r="E614" t="s">
        <v>43</v>
      </c>
      <c r="F614" s="1">
        <v>46082</v>
      </c>
      <c r="G614" s="1">
        <v>46096</v>
      </c>
      <c r="H614" s="1">
        <v>46082</v>
      </c>
      <c r="I614" s="1"/>
      <c r="J614" s="2">
        <v>65070.41</v>
      </c>
      <c r="K614" s="2">
        <v>53411.06</v>
      </c>
      <c r="L614" s="2">
        <v>105944.52</v>
      </c>
      <c r="M614">
        <v>1075</v>
      </c>
      <c r="N614">
        <v>591</v>
      </c>
      <c r="O614" t="s">
        <v>21</v>
      </c>
      <c r="P614" s="2">
        <f>Tabela1[[#This Row],[orcamento_aprovado]]-Tabela1[[#This Row],[custo_real_acumulado]]</f>
        <v>11659.350000000006</v>
      </c>
      <c r="Q614" t="str">
        <f>IF(Tabela1[[#This Row],[data_fim_real]]="","",Tabela1[[#This Row],[data_fim_real]]-Tabela1[[#This Row],[data_inicio_real]])</f>
        <v/>
      </c>
    </row>
    <row r="615" spans="1:17" ht="16.5" x14ac:dyDescent="0.5">
      <c r="A615" t="s">
        <v>1488</v>
      </c>
      <c r="B615" t="s">
        <v>1489</v>
      </c>
      <c r="C615" t="s">
        <v>86</v>
      </c>
      <c r="D615" t="s">
        <v>142</v>
      </c>
      <c r="E615" t="s">
        <v>43</v>
      </c>
      <c r="F615" s="1">
        <v>46206</v>
      </c>
      <c r="G615" s="1">
        <v>46321</v>
      </c>
      <c r="H615" s="1">
        <v>46220</v>
      </c>
      <c r="I615" s="1"/>
      <c r="J615" s="2">
        <v>112779.31</v>
      </c>
      <c r="K615" s="2">
        <v>90435.45</v>
      </c>
      <c r="L615" s="2">
        <v>134777.75</v>
      </c>
      <c r="M615">
        <v>4524</v>
      </c>
      <c r="N615">
        <v>3483</v>
      </c>
      <c r="O615" t="s">
        <v>26</v>
      </c>
      <c r="P615" s="2">
        <f>Tabela1[[#This Row],[orcamento_aprovado]]-Tabela1[[#This Row],[custo_real_acumulado]]</f>
        <v>22343.86</v>
      </c>
      <c r="Q615" t="str">
        <f>IF(Tabela1[[#This Row],[data_fim_real]]="","",Tabela1[[#This Row],[data_fim_real]]-Tabela1[[#This Row],[data_inicio_real]])</f>
        <v/>
      </c>
    </row>
    <row r="616" spans="1:17" ht="16.5" x14ac:dyDescent="0.5">
      <c r="A616" t="s">
        <v>1490</v>
      </c>
      <c r="B616" t="s">
        <v>1491</v>
      </c>
      <c r="C616" t="s">
        <v>899</v>
      </c>
      <c r="D616" t="s">
        <v>33</v>
      </c>
      <c r="E616" t="s">
        <v>43</v>
      </c>
      <c r="F616" s="1">
        <v>46078</v>
      </c>
      <c r="G616" s="1">
        <v>46119</v>
      </c>
      <c r="H616" s="1"/>
      <c r="I616" s="1"/>
      <c r="J616" s="2">
        <v>50000</v>
      </c>
      <c r="K616" s="2">
        <v>0</v>
      </c>
      <c r="L616" s="2">
        <v>50599.45</v>
      </c>
      <c r="M616">
        <v>990</v>
      </c>
      <c r="N616">
        <v>0</v>
      </c>
      <c r="O616" t="s">
        <v>34</v>
      </c>
      <c r="P616" s="2">
        <f>Tabela1[[#This Row],[orcamento_aprovado]]-Tabela1[[#This Row],[custo_real_acumulado]]</f>
        <v>50000</v>
      </c>
      <c r="Q616" t="str">
        <f>IF(Tabela1[[#This Row],[data_fim_real]]="","",Tabela1[[#This Row],[data_fim_real]]-Tabela1[[#This Row],[data_inicio_real]])</f>
        <v/>
      </c>
    </row>
    <row r="617" spans="1:17" ht="16.5" x14ac:dyDescent="0.5">
      <c r="A617" t="s">
        <v>1492</v>
      </c>
      <c r="B617" t="s">
        <v>1493</v>
      </c>
      <c r="C617" t="s">
        <v>1047</v>
      </c>
      <c r="D617" t="s">
        <v>33</v>
      </c>
      <c r="E617" t="s">
        <v>42</v>
      </c>
      <c r="F617" s="1">
        <v>46225</v>
      </c>
      <c r="G617" s="1">
        <v>46293</v>
      </c>
      <c r="H617" s="1">
        <v>46248</v>
      </c>
      <c r="I617" s="1"/>
      <c r="J617" s="2">
        <v>88840.1</v>
      </c>
      <c r="K617" s="2">
        <v>36991.129999999997</v>
      </c>
      <c r="L617" s="2">
        <v>48249.49</v>
      </c>
      <c r="M617">
        <v>1671</v>
      </c>
      <c r="N617">
        <v>596</v>
      </c>
      <c r="O617" t="s">
        <v>21</v>
      </c>
      <c r="P617" s="2">
        <f>Tabela1[[#This Row],[orcamento_aprovado]]-Tabela1[[#This Row],[custo_real_acumulado]]</f>
        <v>51848.970000000008</v>
      </c>
      <c r="Q617" t="str">
        <f>IF(Tabela1[[#This Row],[data_fim_real]]="","",Tabela1[[#This Row],[data_fim_real]]-Tabela1[[#This Row],[data_inicio_real]])</f>
        <v/>
      </c>
    </row>
    <row r="618" spans="1:17" ht="16.5" x14ac:dyDescent="0.5">
      <c r="A618" t="s">
        <v>1494</v>
      </c>
      <c r="B618" t="s">
        <v>1495</v>
      </c>
      <c r="C618" t="s">
        <v>1496</v>
      </c>
      <c r="D618" t="s">
        <v>54</v>
      </c>
      <c r="E618" t="s">
        <v>20</v>
      </c>
      <c r="F618" s="1">
        <v>46224</v>
      </c>
      <c r="G618" s="1">
        <v>46324</v>
      </c>
      <c r="H618" s="1"/>
      <c r="I618" s="1"/>
      <c r="J618" s="2">
        <v>50000</v>
      </c>
      <c r="K618" s="2">
        <v>0</v>
      </c>
      <c r="L618" s="2">
        <v>67519.97</v>
      </c>
      <c r="M618">
        <v>3245</v>
      </c>
      <c r="N618">
        <v>0</v>
      </c>
      <c r="O618" t="s">
        <v>26</v>
      </c>
      <c r="P618" s="2">
        <f>Tabela1[[#This Row],[orcamento_aprovado]]-Tabela1[[#This Row],[custo_real_acumulado]]</f>
        <v>50000</v>
      </c>
      <c r="Q618" t="str">
        <f>IF(Tabela1[[#This Row],[data_fim_real]]="","",Tabela1[[#This Row],[data_fim_real]]-Tabela1[[#This Row],[data_inicio_real]])</f>
        <v/>
      </c>
    </row>
    <row r="619" spans="1:17" ht="16.5" x14ac:dyDescent="0.5">
      <c r="A619" t="s">
        <v>1497</v>
      </c>
      <c r="B619" t="s">
        <v>1498</v>
      </c>
      <c r="C619" t="s">
        <v>67</v>
      </c>
      <c r="D619" t="s">
        <v>33</v>
      </c>
      <c r="E619" t="s">
        <v>19</v>
      </c>
      <c r="F619" s="1">
        <v>46059</v>
      </c>
      <c r="G619" s="1">
        <v>46105</v>
      </c>
      <c r="H619" s="1">
        <v>46063</v>
      </c>
      <c r="I619" s="1"/>
      <c r="J619" s="2">
        <v>148655.19</v>
      </c>
      <c r="K619" s="2">
        <v>57128.26</v>
      </c>
      <c r="L619" s="2">
        <v>162389.82999999999</v>
      </c>
      <c r="M619">
        <v>1698</v>
      </c>
      <c r="N619">
        <v>651</v>
      </c>
      <c r="O619" t="s">
        <v>34</v>
      </c>
      <c r="P619" s="2">
        <f>Tabela1[[#This Row],[orcamento_aprovado]]-Tabela1[[#This Row],[custo_real_acumulado]]</f>
        <v>91526.93</v>
      </c>
      <c r="Q619" t="str">
        <f>IF(Tabela1[[#This Row],[data_fim_real]]="","",Tabela1[[#This Row],[data_fim_real]]-Tabela1[[#This Row],[data_inicio_real]])</f>
        <v/>
      </c>
    </row>
    <row r="620" spans="1:17" ht="16.5" x14ac:dyDescent="0.5">
      <c r="A620" t="s">
        <v>1499</v>
      </c>
      <c r="B620" t="s">
        <v>1500</v>
      </c>
      <c r="C620" t="s">
        <v>293</v>
      </c>
      <c r="D620" t="s">
        <v>25</v>
      </c>
      <c r="E620" t="s">
        <v>42</v>
      </c>
      <c r="F620" s="1">
        <v>46131</v>
      </c>
      <c r="G620" s="1">
        <v>46188</v>
      </c>
      <c r="H620" s="1">
        <v>46111</v>
      </c>
      <c r="I620" s="1"/>
      <c r="J620" s="2">
        <v>185431.21</v>
      </c>
      <c r="K620" s="2">
        <v>106580.6</v>
      </c>
      <c r="L620" s="2">
        <v>298458.3</v>
      </c>
      <c r="M620">
        <v>1465</v>
      </c>
      <c r="N620">
        <v>931</v>
      </c>
      <c r="O620" t="s">
        <v>21</v>
      </c>
      <c r="P620" s="2">
        <f>Tabela1[[#This Row],[orcamento_aprovado]]-Tabela1[[#This Row],[custo_real_acumulado]]</f>
        <v>78850.609999999986</v>
      </c>
      <c r="Q620" t="str">
        <f>IF(Tabela1[[#This Row],[data_fim_real]]="","",Tabela1[[#This Row],[data_fim_real]]-Tabela1[[#This Row],[data_inicio_real]])</f>
        <v/>
      </c>
    </row>
    <row r="621" spans="1:17" ht="16.5" x14ac:dyDescent="0.5">
      <c r="A621" t="s">
        <v>1501</v>
      </c>
      <c r="B621" t="s">
        <v>1502</v>
      </c>
      <c r="C621" t="s">
        <v>296</v>
      </c>
      <c r="D621" t="s">
        <v>54</v>
      </c>
      <c r="E621" t="s">
        <v>43</v>
      </c>
      <c r="F621" s="1">
        <v>46374</v>
      </c>
      <c r="G621" s="1">
        <v>46387</v>
      </c>
      <c r="H621" s="1">
        <v>46387</v>
      </c>
      <c r="I621" s="1"/>
      <c r="J621" s="2">
        <v>335261.21000000002</v>
      </c>
      <c r="K621" s="2">
        <v>317227.38</v>
      </c>
      <c r="L621" s="2">
        <v>421132.96</v>
      </c>
      <c r="M621">
        <v>473</v>
      </c>
      <c r="N621">
        <v>501</v>
      </c>
      <c r="O621" t="s">
        <v>26</v>
      </c>
      <c r="P621" s="2">
        <f>Tabela1[[#This Row],[orcamento_aprovado]]-Tabela1[[#This Row],[custo_real_acumulado]]</f>
        <v>18033.830000000016</v>
      </c>
      <c r="Q621" t="str">
        <f>IF(Tabela1[[#This Row],[data_fim_real]]="","",Tabela1[[#This Row],[data_fim_real]]-Tabela1[[#This Row],[data_inicio_real]])</f>
        <v/>
      </c>
    </row>
    <row r="622" spans="1:17" ht="16.5" x14ac:dyDescent="0.5">
      <c r="A622" t="s">
        <v>1503</v>
      </c>
      <c r="B622" t="s">
        <v>1504</v>
      </c>
      <c r="C622" t="s">
        <v>489</v>
      </c>
      <c r="D622" t="s">
        <v>38</v>
      </c>
      <c r="E622" t="s">
        <v>43</v>
      </c>
      <c r="F622" s="1">
        <v>46280</v>
      </c>
      <c r="G622" s="1">
        <v>46319</v>
      </c>
      <c r="H622" s="1">
        <v>46291</v>
      </c>
      <c r="I622" s="1"/>
      <c r="J622" s="2">
        <v>80199.94</v>
      </c>
      <c r="K622" s="2">
        <v>52717.69</v>
      </c>
      <c r="L622" s="2">
        <v>160171.20000000001</v>
      </c>
      <c r="M622">
        <v>2079</v>
      </c>
      <c r="N622">
        <v>1103</v>
      </c>
      <c r="O622" t="s">
        <v>34</v>
      </c>
      <c r="P622" s="2">
        <f>Tabela1[[#This Row],[orcamento_aprovado]]-Tabela1[[#This Row],[custo_real_acumulado]]</f>
        <v>27482.25</v>
      </c>
      <c r="Q622" t="str">
        <f>IF(Tabela1[[#This Row],[data_fim_real]]="","",Tabela1[[#This Row],[data_fim_real]]-Tabela1[[#This Row],[data_inicio_real]])</f>
        <v/>
      </c>
    </row>
    <row r="623" spans="1:17" ht="16.5" x14ac:dyDescent="0.5">
      <c r="A623" t="s">
        <v>1505</v>
      </c>
      <c r="B623" t="s">
        <v>1506</v>
      </c>
      <c r="C623" t="s">
        <v>519</v>
      </c>
      <c r="D623" t="s">
        <v>25</v>
      </c>
      <c r="E623" t="s">
        <v>20</v>
      </c>
      <c r="F623" s="1">
        <v>46047</v>
      </c>
      <c r="G623" s="1">
        <v>46076</v>
      </c>
      <c r="H623" s="1">
        <v>46049</v>
      </c>
      <c r="I623" s="1"/>
      <c r="J623" s="2">
        <v>66445.48</v>
      </c>
      <c r="K623" s="2">
        <v>17741.939999999999</v>
      </c>
      <c r="L623" s="2">
        <v>53928.07</v>
      </c>
      <c r="M623">
        <v>838</v>
      </c>
      <c r="N623">
        <v>222</v>
      </c>
      <c r="O623" t="s">
        <v>21</v>
      </c>
      <c r="P623" s="2">
        <f>Tabela1[[#This Row],[orcamento_aprovado]]-Tabela1[[#This Row],[custo_real_acumulado]]</f>
        <v>48703.539999999994</v>
      </c>
      <c r="Q623" t="str">
        <f>IF(Tabela1[[#This Row],[data_fim_real]]="","",Tabela1[[#This Row],[data_fim_real]]-Tabela1[[#This Row],[data_inicio_real]])</f>
        <v/>
      </c>
    </row>
    <row r="624" spans="1:17" ht="16.5" x14ac:dyDescent="0.5">
      <c r="A624" t="s">
        <v>1507</v>
      </c>
      <c r="B624" t="s">
        <v>1508</v>
      </c>
      <c r="C624" t="s">
        <v>859</v>
      </c>
      <c r="D624" t="s">
        <v>142</v>
      </c>
      <c r="E624" t="s">
        <v>20</v>
      </c>
      <c r="F624" s="1">
        <v>46348</v>
      </c>
      <c r="G624" s="1">
        <v>46387</v>
      </c>
      <c r="H624" s="1"/>
      <c r="I624" s="1"/>
      <c r="J624" s="2">
        <v>119598.81</v>
      </c>
      <c r="K624" s="2">
        <v>0</v>
      </c>
      <c r="L624" s="2">
        <v>162974.14000000001</v>
      </c>
      <c r="M624">
        <v>1083</v>
      </c>
      <c r="N624">
        <v>0</v>
      </c>
      <c r="O624" t="s">
        <v>26</v>
      </c>
      <c r="P624" s="2">
        <f>Tabela1[[#This Row],[orcamento_aprovado]]-Tabela1[[#This Row],[custo_real_acumulado]]</f>
        <v>119598.81</v>
      </c>
      <c r="Q624" t="str">
        <f>IF(Tabela1[[#This Row],[data_fim_real]]="","",Tabela1[[#This Row],[data_fim_real]]-Tabela1[[#This Row],[data_inicio_real]])</f>
        <v/>
      </c>
    </row>
    <row r="625" spans="1:17" ht="16.5" x14ac:dyDescent="0.5">
      <c r="A625" t="s">
        <v>1509</v>
      </c>
      <c r="B625" t="s">
        <v>1510</v>
      </c>
      <c r="C625" t="s">
        <v>235</v>
      </c>
      <c r="D625" t="s">
        <v>71</v>
      </c>
      <c r="E625" t="s">
        <v>19</v>
      </c>
      <c r="F625" s="1">
        <v>46291</v>
      </c>
      <c r="G625" s="1">
        <v>46357</v>
      </c>
      <c r="H625" s="1">
        <v>46296</v>
      </c>
      <c r="I625" s="1"/>
      <c r="J625" s="2">
        <v>57574.89</v>
      </c>
      <c r="K625" s="2">
        <v>35884.410000000003</v>
      </c>
      <c r="L625" s="2">
        <v>57002.57</v>
      </c>
      <c r="M625">
        <v>3005</v>
      </c>
      <c r="N625">
        <v>2144</v>
      </c>
      <c r="O625" t="s">
        <v>34</v>
      </c>
      <c r="P625" s="2">
        <f>Tabela1[[#This Row],[orcamento_aprovado]]-Tabela1[[#This Row],[custo_real_acumulado]]</f>
        <v>21690.479999999996</v>
      </c>
      <c r="Q625" t="str">
        <f>IF(Tabela1[[#This Row],[data_fim_real]]="","",Tabela1[[#This Row],[data_fim_real]]-Tabela1[[#This Row],[data_inicio_real]])</f>
        <v/>
      </c>
    </row>
    <row r="626" spans="1:17" ht="16.5" x14ac:dyDescent="0.5">
      <c r="A626" t="s">
        <v>1511</v>
      </c>
      <c r="B626" t="s">
        <v>1512</v>
      </c>
      <c r="C626" t="s">
        <v>1513</v>
      </c>
      <c r="D626" t="s">
        <v>38</v>
      </c>
      <c r="E626" t="s">
        <v>20</v>
      </c>
      <c r="F626" s="1">
        <v>46244</v>
      </c>
      <c r="G626" s="1">
        <v>46350</v>
      </c>
      <c r="H626" s="1">
        <v>46238</v>
      </c>
      <c r="I626" s="1"/>
      <c r="J626" s="2">
        <v>50000</v>
      </c>
      <c r="K626" s="2">
        <v>39980.29</v>
      </c>
      <c r="L626" s="2">
        <v>105486.67</v>
      </c>
      <c r="M626">
        <v>2554</v>
      </c>
      <c r="N626">
        <v>1986</v>
      </c>
      <c r="O626" t="s">
        <v>21</v>
      </c>
      <c r="P626" s="2">
        <f>Tabela1[[#This Row],[orcamento_aprovado]]-Tabela1[[#This Row],[custo_real_acumulado]]</f>
        <v>10019.709999999999</v>
      </c>
      <c r="Q626" t="str">
        <f>IF(Tabela1[[#This Row],[data_fim_real]]="","",Tabela1[[#This Row],[data_fim_real]]-Tabela1[[#This Row],[data_inicio_real]])</f>
        <v/>
      </c>
    </row>
    <row r="627" spans="1:17" ht="16.5" x14ac:dyDescent="0.5">
      <c r="A627" t="s">
        <v>1514</v>
      </c>
      <c r="B627" t="s">
        <v>1515</v>
      </c>
      <c r="C627" t="s">
        <v>474</v>
      </c>
      <c r="D627" t="s">
        <v>38</v>
      </c>
      <c r="E627" t="s">
        <v>19</v>
      </c>
      <c r="F627" s="1">
        <v>46332</v>
      </c>
      <c r="G627" s="1">
        <v>46387</v>
      </c>
      <c r="H627" s="1">
        <v>46325</v>
      </c>
      <c r="I627" s="1"/>
      <c r="J627" s="2">
        <v>50000</v>
      </c>
      <c r="K627" s="2">
        <v>4092.89</v>
      </c>
      <c r="L627" s="2">
        <v>69349.48</v>
      </c>
      <c r="M627">
        <v>2233</v>
      </c>
      <c r="N627">
        <v>128</v>
      </c>
      <c r="O627" t="s">
        <v>26</v>
      </c>
      <c r="P627" s="2">
        <f>Tabela1[[#This Row],[orcamento_aprovado]]-Tabela1[[#This Row],[custo_real_acumulado]]</f>
        <v>45907.11</v>
      </c>
      <c r="Q627" t="str">
        <f>IF(Tabela1[[#This Row],[data_fim_real]]="","",Tabela1[[#This Row],[data_fim_real]]-Tabela1[[#This Row],[data_inicio_real]])</f>
        <v/>
      </c>
    </row>
    <row r="628" spans="1:17" ht="16.5" x14ac:dyDescent="0.5">
      <c r="A628" t="s">
        <v>1516</v>
      </c>
      <c r="B628" t="s">
        <v>1517</v>
      </c>
      <c r="C628" t="s">
        <v>358</v>
      </c>
      <c r="D628" t="s">
        <v>33</v>
      </c>
      <c r="E628" t="s">
        <v>20</v>
      </c>
      <c r="F628" s="1">
        <v>46170</v>
      </c>
      <c r="G628" s="1">
        <v>46184</v>
      </c>
      <c r="H628" s="1">
        <v>46171</v>
      </c>
      <c r="I628" s="1"/>
      <c r="J628" s="2">
        <v>50000</v>
      </c>
      <c r="K628" s="2">
        <v>43417.279999999999</v>
      </c>
      <c r="L628" s="2">
        <v>19697.509999999998</v>
      </c>
      <c r="M628">
        <v>364</v>
      </c>
      <c r="N628">
        <v>237</v>
      </c>
      <c r="O628" t="s">
        <v>34</v>
      </c>
      <c r="P628" s="2">
        <f>Tabela1[[#This Row],[orcamento_aprovado]]-Tabela1[[#This Row],[custo_real_acumulado]]</f>
        <v>6582.7200000000012</v>
      </c>
      <c r="Q628" t="str">
        <f>IF(Tabela1[[#This Row],[data_fim_real]]="","",Tabela1[[#This Row],[data_fim_real]]-Tabela1[[#This Row],[data_inicio_real]])</f>
        <v/>
      </c>
    </row>
    <row r="629" spans="1:17" ht="16.5" x14ac:dyDescent="0.5">
      <c r="A629" t="s">
        <v>1518</v>
      </c>
      <c r="B629" t="s">
        <v>1519</v>
      </c>
      <c r="C629" t="s">
        <v>1465</v>
      </c>
      <c r="D629" t="s">
        <v>33</v>
      </c>
      <c r="E629" t="s">
        <v>19</v>
      </c>
      <c r="F629" s="1">
        <v>46295</v>
      </c>
      <c r="G629" s="1">
        <v>46387</v>
      </c>
      <c r="H629" s="1">
        <v>46305</v>
      </c>
      <c r="I629" s="1">
        <v>46386</v>
      </c>
      <c r="J629" s="2">
        <v>244873.36</v>
      </c>
      <c r="K629" s="2">
        <v>286139.44</v>
      </c>
      <c r="L629" s="2">
        <v>274329.76</v>
      </c>
      <c r="M629">
        <v>1281</v>
      </c>
      <c r="N629">
        <v>1252</v>
      </c>
      <c r="O629" t="s">
        <v>21</v>
      </c>
      <c r="P629" s="2">
        <f>Tabela1[[#This Row],[orcamento_aprovado]]-Tabela1[[#This Row],[custo_real_acumulado]]</f>
        <v>-41266.080000000016</v>
      </c>
      <c r="Q629">
        <f>IF(Tabela1[[#This Row],[data_fim_real]]="","",Tabela1[[#This Row],[data_fim_real]]-Tabela1[[#This Row],[data_inicio_real]])</f>
        <v>81</v>
      </c>
    </row>
    <row r="630" spans="1:17" ht="16.5" x14ac:dyDescent="0.5">
      <c r="A630" t="s">
        <v>1520</v>
      </c>
      <c r="B630" t="s">
        <v>1521</v>
      </c>
      <c r="C630" t="s">
        <v>369</v>
      </c>
      <c r="D630" t="s">
        <v>50</v>
      </c>
      <c r="E630" t="s">
        <v>43</v>
      </c>
      <c r="F630" s="1">
        <v>46102</v>
      </c>
      <c r="G630" s="1">
        <v>46173</v>
      </c>
      <c r="H630" s="1">
        <v>46127</v>
      </c>
      <c r="I630" s="1"/>
      <c r="J630" s="2">
        <v>569397.24</v>
      </c>
      <c r="K630" s="2">
        <v>489362.14</v>
      </c>
      <c r="L630" s="2">
        <v>748735.05</v>
      </c>
      <c r="M630">
        <v>1810</v>
      </c>
      <c r="N630">
        <v>1125</v>
      </c>
      <c r="O630" t="s">
        <v>26</v>
      </c>
      <c r="P630" s="2">
        <f>Tabela1[[#This Row],[orcamento_aprovado]]-Tabela1[[#This Row],[custo_real_acumulado]]</f>
        <v>80035.099999999977</v>
      </c>
      <c r="Q630" t="str">
        <f>IF(Tabela1[[#This Row],[data_fim_real]]="","",Tabela1[[#This Row],[data_fim_real]]-Tabela1[[#This Row],[data_inicio_real]])</f>
        <v/>
      </c>
    </row>
    <row r="631" spans="1:17" ht="16.5" x14ac:dyDescent="0.5">
      <c r="A631" t="s">
        <v>1522</v>
      </c>
      <c r="B631" t="s">
        <v>1523</v>
      </c>
      <c r="C631" t="s">
        <v>416</v>
      </c>
      <c r="D631" t="s">
        <v>38</v>
      </c>
      <c r="E631" t="s">
        <v>43</v>
      </c>
      <c r="F631" s="1">
        <v>46131</v>
      </c>
      <c r="G631" s="1">
        <v>46235</v>
      </c>
      <c r="H631" s="1">
        <v>46141</v>
      </c>
      <c r="I631" s="1"/>
      <c r="J631" s="2">
        <v>455560.98</v>
      </c>
      <c r="K631" s="2">
        <v>85020.479999999996</v>
      </c>
      <c r="L631" s="2">
        <v>623682.49</v>
      </c>
      <c r="M631">
        <v>5574</v>
      </c>
      <c r="N631">
        <v>1214</v>
      </c>
      <c r="O631" t="s">
        <v>34</v>
      </c>
      <c r="P631" s="2">
        <f>Tabela1[[#This Row],[orcamento_aprovado]]-Tabela1[[#This Row],[custo_real_acumulado]]</f>
        <v>370540.5</v>
      </c>
      <c r="Q631" t="str">
        <f>IF(Tabela1[[#This Row],[data_fim_real]]="","",Tabela1[[#This Row],[data_fim_real]]-Tabela1[[#This Row],[data_inicio_real]])</f>
        <v/>
      </c>
    </row>
    <row r="632" spans="1:17" ht="16.5" x14ac:dyDescent="0.5">
      <c r="A632" t="s">
        <v>1524</v>
      </c>
      <c r="B632" t="s">
        <v>1525</v>
      </c>
      <c r="C632" t="s">
        <v>463</v>
      </c>
      <c r="D632" t="s">
        <v>33</v>
      </c>
      <c r="E632" t="s">
        <v>43</v>
      </c>
      <c r="F632" s="1">
        <v>46185</v>
      </c>
      <c r="G632" s="1">
        <v>46231</v>
      </c>
      <c r="H632" s="1">
        <v>46184</v>
      </c>
      <c r="I632" s="1"/>
      <c r="J632" s="2">
        <v>50000</v>
      </c>
      <c r="K632" s="2">
        <v>10262.73</v>
      </c>
      <c r="L632" s="2">
        <v>86248.76</v>
      </c>
      <c r="M632">
        <v>1399</v>
      </c>
      <c r="N632">
        <v>311</v>
      </c>
      <c r="O632" t="s">
        <v>21</v>
      </c>
      <c r="P632" s="2">
        <f>Tabela1[[#This Row],[orcamento_aprovado]]-Tabela1[[#This Row],[custo_real_acumulado]]</f>
        <v>39737.270000000004</v>
      </c>
      <c r="Q632" t="str">
        <f>IF(Tabela1[[#This Row],[data_fim_real]]="","",Tabela1[[#This Row],[data_fim_real]]-Tabela1[[#This Row],[data_inicio_real]])</f>
        <v/>
      </c>
    </row>
    <row r="633" spans="1:17" ht="16.5" x14ac:dyDescent="0.5">
      <c r="A633" t="s">
        <v>1526</v>
      </c>
      <c r="B633" t="s">
        <v>1527</v>
      </c>
      <c r="C633" t="s">
        <v>109</v>
      </c>
      <c r="D633" t="s">
        <v>78</v>
      </c>
      <c r="E633" t="s">
        <v>43</v>
      </c>
      <c r="F633" s="1">
        <v>46073</v>
      </c>
      <c r="G633" s="1">
        <v>46209</v>
      </c>
      <c r="H633" s="1">
        <v>46088</v>
      </c>
      <c r="I633" s="1"/>
      <c r="J633" s="2">
        <v>188846.42</v>
      </c>
      <c r="K633" s="2">
        <v>80530.48</v>
      </c>
      <c r="L633" s="2">
        <v>379927.01</v>
      </c>
      <c r="M633">
        <v>4528</v>
      </c>
      <c r="N633">
        <v>1970</v>
      </c>
      <c r="O633" t="s">
        <v>26</v>
      </c>
      <c r="P633" s="2">
        <f>Tabela1[[#This Row],[orcamento_aprovado]]-Tabela1[[#This Row],[custo_real_acumulado]]</f>
        <v>108315.94000000002</v>
      </c>
      <c r="Q633" t="str">
        <f>IF(Tabela1[[#This Row],[data_fim_real]]="","",Tabela1[[#This Row],[data_fim_real]]-Tabela1[[#This Row],[data_inicio_real]])</f>
        <v/>
      </c>
    </row>
    <row r="634" spans="1:17" ht="16.5" x14ac:dyDescent="0.5">
      <c r="A634" t="s">
        <v>1528</v>
      </c>
      <c r="B634" t="s">
        <v>1529</v>
      </c>
      <c r="C634" t="s">
        <v>61</v>
      </c>
      <c r="D634" t="s">
        <v>33</v>
      </c>
      <c r="E634" t="s">
        <v>20</v>
      </c>
      <c r="F634" s="1">
        <v>46330</v>
      </c>
      <c r="G634" s="1">
        <v>46386</v>
      </c>
      <c r="H634" s="1">
        <v>46330</v>
      </c>
      <c r="I634" s="1"/>
      <c r="J634" s="2">
        <v>106658.68</v>
      </c>
      <c r="K634" s="2">
        <v>58933.67</v>
      </c>
      <c r="L634" s="2">
        <v>158826.35999999999</v>
      </c>
      <c r="M634">
        <v>1225</v>
      </c>
      <c r="N634">
        <v>795</v>
      </c>
      <c r="O634" t="s">
        <v>34</v>
      </c>
      <c r="P634" s="2">
        <f>Tabela1[[#This Row],[orcamento_aprovado]]-Tabela1[[#This Row],[custo_real_acumulado]]</f>
        <v>47725.009999999995</v>
      </c>
      <c r="Q634" t="str">
        <f>IF(Tabela1[[#This Row],[data_fim_real]]="","",Tabela1[[#This Row],[data_fim_real]]-Tabela1[[#This Row],[data_inicio_real]])</f>
        <v/>
      </c>
    </row>
    <row r="635" spans="1:17" ht="16.5" x14ac:dyDescent="0.5">
      <c r="A635" t="s">
        <v>1530</v>
      </c>
      <c r="B635" t="s">
        <v>1531</v>
      </c>
      <c r="C635" t="s">
        <v>419</v>
      </c>
      <c r="D635" t="s">
        <v>33</v>
      </c>
      <c r="E635" t="s">
        <v>43</v>
      </c>
      <c r="F635" s="1">
        <v>46148</v>
      </c>
      <c r="G635" s="1">
        <v>46216</v>
      </c>
      <c r="H635" s="1">
        <v>46158</v>
      </c>
      <c r="I635" s="1"/>
      <c r="J635" s="2">
        <v>50000</v>
      </c>
      <c r="K635" s="2">
        <v>41347.379999999997</v>
      </c>
      <c r="L635" s="2">
        <v>97531.94</v>
      </c>
      <c r="M635">
        <v>549</v>
      </c>
      <c r="N635">
        <v>444</v>
      </c>
      <c r="O635" t="s">
        <v>21</v>
      </c>
      <c r="P635" s="2">
        <f>Tabela1[[#This Row],[orcamento_aprovado]]-Tabela1[[#This Row],[custo_real_acumulado]]</f>
        <v>8652.6200000000026</v>
      </c>
      <c r="Q635" t="str">
        <f>IF(Tabela1[[#This Row],[data_fim_real]]="","",Tabela1[[#This Row],[data_fim_real]]-Tabela1[[#This Row],[data_inicio_real]])</f>
        <v/>
      </c>
    </row>
    <row r="636" spans="1:17" ht="16.5" x14ac:dyDescent="0.5">
      <c r="A636" t="s">
        <v>1532</v>
      </c>
      <c r="B636" t="s">
        <v>1533</v>
      </c>
      <c r="C636" t="s">
        <v>179</v>
      </c>
      <c r="D636" t="s">
        <v>142</v>
      </c>
      <c r="E636" t="s">
        <v>19</v>
      </c>
      <c r="F636" s="1">
        <v>46059</v>
      </c>
      <c r="G636" s="1">
        <v>46117</v>
      </c>
      <c r="H636" s="1">
        <v>46052</v>
      </c>
      <c r="I636" s="1"/>
      <c r="J636" s="2">
        <v>50000</v>
      </c>
      <c r="K636" s="2">
        <v>42388.86</v>
      </c>
      <c r="L636" s="2">
        <v>77092.28</v>
      </c>
      <c r="M636">
        <v>1466</v>
      </c>
      <c r="N636">
        <v>972</v>
      </c>
      <c r="O636" t="s">
        <v>26</v>
      </c>
      <c r="P636" s="2">
        <f>Tabela1[[#This Row],[orcamento_aprovado]]-Tabela1[[#This Row],[custo_real_acumulado]]</f>
        <v>7611.1399999999994</v>
      </c>
      <c r="Q636" t="str">
        <f>IF(Tabela1[[#This Row],[data_fim_real]]="","",Tabela1[[#This Row],[data_fim_real]]-Tabela1[[#This Row],[data_inicio_real]])</f>
        <v/>
      </c>
    </row>
    <row r="637" spans="1:17" ht="16.5" x14ac:dyDescent="0.5">
      <c r="A637" t="s">
        <v>1534</v>
      </c>
      <c r="B637" t="s">
        <v>1535</v>
      </c>
      <c r="C637" t="s">
        <v>381</v>
      </c>
      <c r="D637" t="s">
        <v>33</v>
      </c>
      <c r="E637" t="s">
        <v>19</v>
      </c>
      <c r="F637" s="1">
        <v>46076</v>
      </c>
      <c r="G637" s="1">
        <v>46164</v>
      </c>
      <c r="H637" s="1">
        <v>46077</v>
      </c>
      <c r="I637" s="1"/>
      <c r="J637" s="2">
        <v>74852.45</v>
      </c>
      <c r="K637" s="2">
        <v>78355.199999999997</v>
      </c>
      <c r="L637" s="2">
        <v>103786.84</v>
      </c>
      <c r="M637">
        <v>3209</v>
      </c>
      <c r="N637">
        <v>3428</v>
      </c>
      <c r="O637" t="s">
        <v>34</v>
      </c>
      <c r="P637" s="2">
        <f>Tabela1[[#This Row],[orcamento_aprovado]]-Tabela1[[#This Row],[custo_real_acumulado]]</f>
        <v>-3502.75</v>
      </c>
      <c r="Q637" t="str">
        <f>IF(Tabela1[[#This Row],[data_fim_real]]="","",Tabela1[[#This Row],[data_fim_real]]-Tabela1[[#This Row],[data_inicio_real]])</f>
        <v/>
      </c>
    </row>
    <row r="638" spans="1:17" ht="16.5" x14ac:dyDescent="0.5">
      <c r="A638" t="s">
        <v>1536</v>
      </c>
      <c r="B638" t="s">
        <v>1537</v>
      </c>
      <c r="C638" t="s">
        <v>324</v>
      </c>
      <c r="D638" t="s">
        <v>33</v>
      </c>
      <c r="E638" t="s">
        <v>43</v>
      </c>
      <c r="F638" s="1">
        <v>46174</v>
      </c>
      <c r="G638" s="1">
        <v>46296</v>
      </c>
      <c r="H638" s="1">
        <v>46154</v>
      </c>
      <c r="I638" s="1"/>
      <c r="J638" s="2">
        <v>50000</v>
      </c>
      <c r="K638" s="2">
        <v>31892.3</v>
      </c>
      <c r="L638" s="2">
        <v>57217.41</v>
      </c>
      <c r="M638">
        <v>1365</v>
      </c>
      <c r="N638">
        <v>1366</v>
      </c>
      <c r="O638" t="s">
        <v>21</v>
      </c>
      <c r="P638" s="2">
        <f>Tabela1[[#This Row],[orcamento_aprovado]]-Tabela1[[#This Row],[custo_real_acumulado]]</f>
        <v>18107.7</v>
      </c>
      <c r="Q638" t="str">
        <f>IF(Tabela1[[#This Row],[data_fim_real]]="","",Tabela1[[#This Row],[data_fim_real]]-Tabela1[[#This Row],[data_inicio_real]])</f>
        <v/>
      </c>
    </row>
    <row r="639" spans="1:17" ht="16.5" x14ac:dyDescent="0.5">
      <c r="A639" t="s">
        <v>1538</v>
      </c>
      <c r="B639" t="s">
        <v>1539</v>
      </c>
      <c r="C639" t="s">
        <v>376</v>
      </c>
      <c r="D639" t="s">
        <v>58</v>
      </c>
      <c r="E639" t="s">
        <v>43</v>
      </c>
      <c r="F639" s="1">
        <v>46313</v>
      </c>
      <c r="G639" s="1">
        <v>46365</v>
      </c>
      <c r="H639" s="1">
        <v>46310</v>
      </c>
      <c r="I639" s="1"/>
      <c r="J639" s="2">
        <v>127990.26</v>
      </c>
      <c r="K639" s="2">
        <v>92554.74</v>
      </c>
      <c r="L639" s="2">
        <v>107771.41</v>
      </c>
      <c r="M639">
        <v>2118</v>
      </c>
      <c r="N639">
        <v>1373</v>
      </c>
      <c r="O639" t="s">
        <v>26</v>
      </c>
      <c r="P639" s="2">
        <f>Tabela1[[#This Row],[orcamento_aprovado]]-Tabela1[[#This Row],[custo_real_acumulado]]</f>
        <v>35435.51999999999</v>
      </c>
      <c r="Q639" t="str">
        <f>IF(Tabela1[[#This Row],[data_fim_real]]="","",Tabela1[[#This Row],[data_fim_real]]-Tabela1[[#This Row],[data_inicio_real]])</f>
        <v/>
      </c>
    </row>
    <row r="640" spans="1:17" ht="16.5" x14ac:dyDescent="0.5">
      <c r="A640" t="s">
        <v>1540</v>
      </c>
      <c r="B640" t="s">
        <v>1541</v>
      </c>
      <c r="C640" t="s">
        <v>956</v>
      </c>
      <c r="D640" t="s">
        <v>58</v>
      </c>
      <c r="E640" t="s">
        <v>20</v>
      </c>
      <c r="F640" s="1">
        <v>46287</v>
      </c>
      <c r="G640" s="1">
        <v>46387</v>
      </c>
      <c r="H640" s="1">
        <v>46281</v>
      </c>
      <c r="I640" s="1"/>
      <c r="J640" s="2">
        <v>86026.51</v>
      </c>
      <c r="K640" s="2">
        <v>60586.2</v>
      </c>
      <c r="L640" s="2">
        <v>103919.36</v>
      </c>
      <c r="M640">
        <v>3268</v>
      </c>
      <c r="N640">
        <v>1644</v>
      </c>
      <c r="O640" t="s">
        <v>34</v>
      </c>
      <c r="P640" s="2">
        <f>Tabela1[[#This Row],[orcamento_aprovado]]-Tabela1[[#This Row],[custo_real_acumulado]]</f>
        <v>25440.309999999998</v>
      </c>
      <c r="Q640" t="str">
        <f>IF(Tabela1[[#This Row],[data_fim_real]]="","",Tabela1[[#This Row],[data_fim_real]]-Tabela1[[#This Row],[data_inicio_real]])</f>
        <v/>
      </c>
    </row>
    <row r="641" spans="1:17" ht="16.5" x14ac:dyDescent="0.5">
      <c r="A641" t="s">
        <v>1542</v>
      </c>
      <c r="B641" t="s">
        <v>1543</v>
      </c>
      <c r="C641" t="s">
        <v>803</v>
      </c>
      <c r="D641" t="s">
        <v>50</v>
      </c>
      <c r="E641" t="s">
        <v>20</v>
      </c>
      <c r="F641" s="1">
        <v>46138</v>
      </c>
      <c r="G641" s="1">
        <v>46274</v>
      </c>
      <c r="H641" s="1"/>
      <c r="I641" s="1"/>
      <c r="J641" s="2">
        <v>268008.62</v>
      </c>
      <c r="K641" s="2">
        <v>0</v>
      </c>
      <c r="L641" s="2">
        <v>417598.48</v>
      </c>
      <c r="M641">
        <v>1723</v>
      </c>
      <c r="N641">
        <v>0</v>
      </c>
      <c r="O641" t="s">
        <v>21</v>
      </c>
      <c r="P641" s="2">
        <f>Tabela1[[#This Row],[orcamento_aprovado]]-Tabela1[[#This Row],[custo_real_acumulado]]</f>
        <v>268008.62</v>
      </c>
      <c r="Q641" t="str">
        <f>IF(Tabela1[[#This Row],[data_fim_real]]="","",Tabela1[[#This Row],[data_fim_real]]-Tabela1[[#This Row],[data_inicio_real]])</f>
        <v/>
      </c>
    </row>
    <row r="642" spans="1:17" ht="16.5" x14ac:dyDescent="0.5">
      <c r="A642" t="s">
        <v>1544</v>
      </c>
      <c r="B642" t="s">
        <v>1545</v>
      </c>
      <c r="C642" t="s">
        <v>340</v>
      </c>
      <c r="D642" t="s">
        <v>58</v>
      </c>
      <c r="E642" t="s">
        <v>43</v>
      </c>
      <c r="F642" s="1">
        <v>46057</v>
      </c>
      <c r="G642" s="1">
        <v>46159</v>
      </c>
      <c r="H642" s="1">
        <v>46049</v>
      </c>
      <c r="I642" s="1"/>
      <c r="J642" s="2">
        <v>50000</v>
      </c>
      <c r="K642" s="2">
        <v>36756.379999999997</v>
      </c>
      <c r="L642" s="2">
        <v>52489.760000000002</v>
      </c>
      <c r="M642">
        <v>3976</v>
      </c>
      <c r="N642">
        <v>2294</v>
      </c>
      <c r="O642" t="s">
        <v>26</v>
      </c>
      <c r="P642" s="2">
        <f>Tabela1[[#This Row],[orcamento_aprovado]]-Tabela1[[#This Row],[custo_real_acumulado]]</f>
        <v>13243.620000000003</v>
      </c>
      <c r="Q642" t="str">
        <f>IF(Tabela1[[#This Row],[data_fim_real]]="","",Tabela1[[#This Row],[data_fim_real]]-Tabela1[[#This Row],[data_inicio_real]])</f>
        <v/>
      </c>
    </row>
    <row r="643" spans="1:17" ht="16.5" x14ac:dyDescent="0.5">
      <c r="A643" t="s">
        <v>1546</v>
      </c>
      <c r="B643" t="s">
        <v>1547</v>
      </c>
      <c r="C643" t="s">
        <v>564</v>
      </c>
      <c r="D643" t="s">
        <v>58</v>
      </c>
      <c r="E643" t="s">
        <v>20</v>
      </c>
      <c r="F643" s="1">
        <v>46120</v>
      </c>
      <c r="G643" s="1">
        <v>46217</v>
      </c>
      <c r="H643" s="1">
        <v>46117</v>
      </c>
      <c r="I643" s="1"/>
      <c r="J643" s="2">
        <v>92883.21</v>
      </c>
      <c r="K643" s="2">
        <v>13792.34</v>
      </c>
      <c r="L643" s="2">
        <v>165016.89000000001</v>
      </c>
      <c r="M643">
        <v>2566</v>
      </c>
      <c r="N643">
        <v>428</v>
      </c>
      <c r="O643" t="s">
        <v>34</v>
      </c>
      <c r="P643" s="2">
        <f>Tabela1[[#This Row],[orcamento_aprovado]]-Tabela1[[#This Row],[custo_real_acumulado]]</f>
        <v>79090.87000000001</v>
      </c>
      <c r="Q643" t="str">
        <f>IF(Tabela1[[#This Row],[data_fim_real]]="","",Tabela1[[#This Row],[data_fim_real]]-Tabela1[[#This Row],[data_inicio_real]])</f>
        <v/>
      </c>
    </row>
    <row r="644" spans="1:17" ht="16.5" x14ac:dyDescent="0.5">
      <c r="A644" t="s">
        <v>1548</v>
      </c>
      <c r="B644" t="s">
        <v>1549</v>
      </c>
      <c r="C644" t="s">
        <v>1550</v>
      </c>
      <c r="D644" t="s">
        <v>33</v>
      </c>
      <c r="E644" t="s">
        <v>20</v>
      </c>
      <c r="F644" s="1">
        <v>46300</v>
      </c>
      <c r="G644" s="1">
        <v>46387</v>
      </c>
      <c r="H644" s="1"/>
      <c r="I644" s="1"/>
      <c r="J644" s="2">
        <v>180907.56</v>
      </c>
      <c r="K644" s="2">
        <v>0</v>
      </c>
      <c r="L644" s="2">
        <v>276502.13</v>
      </c>
      <c r="M644">
        <v>2268</v>
      </c>
      <c r="N644">
        <v>0</v>
      </c>
      <c r="O644" t="s">
        <v>21</v>
      </c>
      <c r="P644" s="2">
        <f>Tabela1[[#This Row],[orcamento_aprovado]]-Tabela1[[#This Row],[custo_real_acumulado]]</f>
        <v>180907.56</v>
      </c>
      <c r="Q644" t="str">
        <f>IF(Tabela1[[#This Row],[data_fim_real]]="","",Tabela1[[#This Row],[data_fim_real]]-Tabela1[[#This Row],[data_inicio_real]])</f>
        <v/>
      </c>
    </row>
    <row r="645" spans="1:17" ht="16.5" x14ac:dyDescent="0.5">
      <c r="A645" t="s">
        <v>1551</v>
      </c>
      <c r="B645" t="s">
        <v>1552</v>
      </c>
      <c r="C645" t="s">
        <v>654</v>
      </c>
      <c r="D645" t="s">
        <v>142</v>
      </c>
      <c r="E645" t="s">
        <v>19</v>
      </c>
      <c r="F645" s="1">
        <v>46282</v>
      </c>
      <c r="G645" s="1">
        <v>46322</v>
      </c>
      <c r="H645" s="1">
        <v>46292</v>
      </c>
      <c r="I645" s="1"/>
      <c r="J645" s="2">
        <v>259680.72</v>
      </c>
      <c r="K645" s="2">
        <v>177508.8</v>
      </c>
      <c r="L645" s="2">
        <v>315942.57</v>
      </c>
      <c r="M645">
        <v>781</v>
      </c>
      <c r="N645">
        <v>433</v>
      </c>
      <c r="O645" t="s">
        <v>26</v>
      </c>
      <c r="P645" s="2">
        <f>Tabela1[[#This Row],[orcamento_aprovado]]-Tabela1[[#This Row],[custo_real_acumulado]]</f>
        <v>82171.920000000013</v>
      </c>
      <c r="Q645" t="str">
        <f>IF(Tabela1[[#This Row],[data_fim_real]]="","",Tabela1[[#This Row],[data_fim_real]]-Tabela1[[#This Row],[data_inicio_real]])</f>
        <v/>
      </c>
    </row>
    <row r="646" spans="1:17" ht="16.5" x14ac:dyDescent="0.5">
      <c r="A646" t="s">
        <v>1553</v>
      </c>
      <c r="B646" t="s">
        <v>1554</v>
      </c>
      <c r="C646" t="s">
        <v>877</v>
      </c>
      <c r="D646" t="s">
        <v>142</v>
      </c>
      <c r="E646" t="s">
        <v>19</v>
      </c>
      <c r="F646" s="1">
        <v>46244</v>
      </c>
      <c r="G646" s="1">
        <v>46319</v>
      </c>
      <c r="H646" s="1">
        <v>46252</v>
      </c>
      <c r="I646" s="1"/>
      <c r="J646" s="2">
        <v>144885.67000000001</v>
      </c>
      <c r="K646" s="2">
        <v>90761.51</v>
      </c>
      <c r="L646" s="2">
        <v>104025.47</v>
      </c>
      <c r="M646">
        <v>1118</v>
      </c>
      <c r="N646">
        <v>578</v>
      </c>
      <c r="O646" t="s">
        <v>34</v>
      </c>
      <c r="P646" s="2">
        <f>Tabela1[[#This Row],[orcamento_aprovado]]-Tabela1[[#This Row],[custo_real_acumulado]]</f>
        <v>54124.160000000018</v>
      </c>
      <c r="Q646" t="str">
        <f>IF(Tabela1[[#This Row],[data_fim_real]]="","",Tabela1[[#This Row],[data_fim_real]]-Tabela1[[#This Row],[data_inicio_real]])</f>
        <v/>
      </c>
    </row>
    <row r="647" spans="1:17" ht="16.5" x14ac:dyDescent="0.5">
      <c r="A647" t="s">
        <v>1555</v>
      </c>
      <c r="B647" t="s">
        <v>1556</v>
      </c>
      <c r="C647" t="s">
        <v>89</v>
      </c>
      <c r="D647" t="s">
        <v>78</v>
      </c>
      <c r="E647" t="s">
        <v>19</v>
      </c>
      <c r="F647" s="1">
        <v>46315</v>
      </c>
      <c r="G647" s="1">
        <v>46378</v>
      </c>
      <c r="H647" s="1">
        <v>46320</v>
      </c>
      <c r="I647" s="1"/>
      <c r="J647" s="2">
        <v>69105.81</v>
      </c>
      <c r="K647" s="2">
        <v>48469.09</v>
      </c>
      <c r="L647" s="2">
        <v>150236.17000000001</v>
      </c>
      <c r="M647">
        <v>3908</v>
      </c>
      <c r="N647">
        <v>3377</v>
      </c>
      <c r="O647" t="s">
        <v>21</v>
      </c>
      <c r="P647" s="2">
        <f>Tabela1[[#This Row],[orcamento_aprovado]]-Tabela1[[#This Row],[custo_real_acumulado]]</f>
        <v>20636.72</v>
      </c>
      <c r="Q647" t="str">
        <f>IF(Tabela1[[#This Row],[data_fim_real]]="","",Tabela1[[#This Row],[data_fim_real]]-Tabela1[[#This Row],[data_inicio_real]])</f>
        <v/>
      </c>
    </row>
    <row r="648" spans="1:17" ht="16.5" x14ac:dyDescent="0.5">
      <c r="A648" t="s">
        <v>1557</v>
      </c>
      <c r="B648" t="s">
        <v>1558</v>
      </c>
      <c r="C648" t="s">
        <v>1445</v>
      </c>
      <c r="D648" t="s">
        <v>25</v>
      </c>
      <c r="E648" t="s">
        <v>19</v>
      </c>
      <c r="F648" s="1">
        <v>46212</v>
      </c>
      <c r="G648" s="1">
        <v>46275</v>
      </c>
      <c r="H648" s="1">
        <v>46202</v>
      </c>
      <c r="I648" s="1">
        <v>46258</v>
      </c>
      <c r="J648" s="2">
        <v>97995.1</v>
      </c>
      <c r="K648" s="2">
        <v>120715.75</v>
      </c>
      <c r="L648" s="2">
        <v>53338.42</v>
      </c>
      <c r="M648">
        <v>1263</v>
      </c>
      <c r="N648">
        <v>1194</v>
      </c>
      <c r="O648" t="s">
        <v>26</v>
      </c>
      <c r="P648" s="2">
        <f>Tabela1[[#This Row],[orcamento_aprovado]]-Tabela1[[#This Row],[custo_real_acumulado]]</f>
        <v>-22720.649999999994</v>
      </c>
      <c r="Q648">
        <f>IF(Tabela1[[#This Row],[data_fim_real]]="","",Tabela1[[#This Row],[data_fim_real]]-Tabela1[[#This Row],[data_inicio_real]])</f>
        <v>56</v>
      </c>
    </row>
    <row r="649" spans="1:17" ht="16.5" x14ac:dyDescent="0.5">
      <c r="A649" t="s">
        <v>1559</v>
      </c>
      <c r="B649" t="s">
        <v>1560</v>
      </c>
      <c r="C649" t="s">
        <v>1550</v>
      </c>
      <c r="D649" t="s">
        <v>38</v>
      </c>
      <c r="E649" t="s">
        <v>43</v>
      </c>
      <c r="F649" s="1">
        <v>46126</v>
      </c>
      <c r="G649" s="1">
        <v>46202</v>
      </c>
      <c r="H649" s="1">
        <v>46113</v>
      </c>
      <c r="I649" s="1"/>
      <c r="J649" s="2">
        <v>143843.20000000001</v>
      </c>
      <c r="K649" s="2">
        <v>97143.72</v>
      </c>
      <c r="L649" s="2">
        <v>173038.82</v>
      </c>
      <c r="M649">
        <v>3231</v>
      </c>
      <c r="N649">
        <v>1486</v>
      </c>
      <c r="O649" t="s">
        <v>34</v>
      </c>
      <c r="P649" s="2">
        <f>Tabela1[[#This Row],[orcamento_aprovado]]-Tabela1[[#This Row],[custo_real_acumulado]]</f>
        <v>46699.48000000001</v>
      </c>
      <c r="Q649" t="str">
        <f>IF(Tabela1[[#This Row],[data_fim_real]]="","",Tabela1[[#This Row],[data_fim_real]]-Tabela1[[#This Row],[data_inicio_real]])</f>
        <v/>
      </c>
    </row>
    <row r="650" spans="1:17" ht="16.5" x14ac:dyDescent="0.5">
      <c r="A650" t="s">
        <v>1561</v>
      </c>
      <c r="B650" t="s">
        <v>1562</v>
      </c>
      <c r="C650" t="s">
        <v>109</v>
      </c>
      <c r="D650" t="s">
        <v>78</v>
      </c>
      <c r="E650" t="s">
        <v>20</v>
      </c>
      <c r="F650" s="1">
        <v>46263</v>
      </c>
      <c r="G650" s="1">
        <v>46277</v>
      </c>
      <c r="H650" s="1">
        <v>46266</v>
      </c>
      <c r="I650" s="1"/>
      <c r="J650" s="2">
        <v>150540.07999999999</v>
      </c>
      <c r="K650" s="2">
        <v>86660.61</v>
      </c>
      <c r="L650" s="2">
        <v>83612.83</v>
      </c>
      <c r="M650">
        <v>530</v>
      </c>
      <c r="N650">
        <v>298</v>
      </c>
      <c r="O650" t="s">
        <v>21</v>
      </c>
      <c r="P650" s="2">
        <f>Tabela1[[#This Row],[orcamento_aprovado]]-Tabela1[[#This Row],[custo_real_acumulado]]</f>
        <v>63879.469999999987</v>
      </c>
      <c r="Q650" t="str">
        <f>IF(Tabela1[[#This Row],[data_fim_real]]="","",Tabela1[[#This Row],[data_fim_real]]-Tabela1[[#This Row],[data_inicio_real]])</f>
        <v/>
      </c>
    </row>
    <row r="651" spans="1:17" ht="16.5" x14ac:dyDescent="0.5">
      <c r="A651" t="s">
        <v>1563</v>
      </c>
      <c r="B651" t="s">
        <v>1564</v>
      </c>
      <c r="C651" t="s">
        <v>854</v>
      </c>
      <c r="D651" t="s">
        <v>18</v>
      </c>
      <c r="E651" t="s">
        <v>43</v>
      </c>
      <c r="F651" s="1">
        <v>46264</v>
      </c>
      <c r="G651" s="1">
        <v>46344</v>
      </c>
      <c r="H651" s="1">
        <v>46283</v>
      </c>
      <c r="I651" s="1"/>
      <c r="J651" s="2">
        <v>85423.679999999993</v>
      </c>
      <c r="K651" s="2">
        <v>37547.699999999997</v>
      </c>
      <c r="L651" s="2">
        <v>71215.86</v>
      </c>
      <c r="M651">
        <v>1758</v>
      </c>
      <c r="N651">
        <v>731</v>
      </c>
      <c r="O651" t="s">
        <v>26</v>
      </c>
      <c r="P651" s="2">
        <f>Tabela1[[#This Row],[orcamento_aprovado]]-Tabela1[[#This Row],[custo_real_acumulado]]</f>
        <v>47875.979999999996</v>
      </c>
      <c r="Q651" t="str">
        <f>IF(Tabela1[[#This Row],[data_fim_real]]="","",Tabela1[[#This Row],[data_fim_real]]-Tabela1[[#This Row],[data_inicio_real]])</f>
        <v/>
      </c>
    </row>
    <row r="652" spans="1:17" ht="16.5" x14ac:dyDescent="0.5">
      <c r="A652" t="s">
        <v>1565</v>
      </c>
      <c r="B652" t="s">
        <v>1566</v>
      </c>
      <c r="C652" t="s">
        <v>670</v>
      </c>
      <c r="D652" t="s">
        <v>71</v>
      </c>
      <c r="E652" t="s">
        <v>43</v>
      </c>
      <c r="F652" s="1">
        <v>46172</v>
      </c>
      <c r="G652" s="1">
        <v>46314</v>
      </c>
      <c r="H652" s="1">
        <v>46176</v>
      </c>
      <c r="I652" s="1"/>
      <c r="J652" s="2">
        <v>84250.7</v>
      </c>
      <c r="K652" s="2">
        <v>57548.41</v>
      </c>
      <c r="L652" s="2">
        <v>162218.26</v>
      </c>
      <c r="M652">
        <v>2929</v>
      </c>
      <c r="N652">
        <v>1709</v>
      </c>
      <c r="O652" t="s">
        <v>34</v>
      </c>
      <c r="P652" s="2">
        <f>Tabela1[[#This Row],[orcamento_aprovado]]-Tabela1[[#This Row],[custo_real_acumulado]]</f>
        <v>26702.289999999994</v>
      </c>
      <c r="Q652" t="str">
        <f>IF(Tabela1[[#This Row],[data_fim_real]]="","",Tabela1[[#This Row],[data_fim_real]]-Tabela1[[#This Row],[data_inicio_real]])</f>
        <v/>
      </c>
    </row>
    <row r="653" spans="1:17" ht="16.5" x14ac:dyDescent="0.5">
      <c r="A653" t="s">
        <v>1567</v>
      </c>
      <c r="B653" t="s">
        <v>1568</v>
      </c>
      <c r="C653" t="s">
        <v>179</v>
      </c>
      <c r="D653" t="s">
        <v>58</v>
      </c>
      <c r="E653" t="s">
        <v>43</v>
      </c>
      <c r="F653" s="1">
        <v>46332</v>
      </c>
      <c r="G653" s="1">
        <v>46387</v>
      </c>
      <c r="H653" s="1">
        <v>46339</v>
      </c>
      <c r="I653" s="1">
        <v>46387</v>
      </c>
      <c r="J653" s="2">
        <v>54586.89</v>
      </c>
      <c r="K653" s="2">
        <v>28833.91</v>
      </c>
      <c r="L653" s="2">
        <v>103721.39</v>
      </c>
      <c r="M653">
        <v>1666</v>
      </c>
      <c r="N653">
        <v>788</v>
      </c>
      <c r="O653" t="s">
        <v>21</v>
      </c>
      <c r="P653" s="2">
        <f>Tabela1[[#This Row],[orcamento_aprovado]]-Tabela1[[#This Row],[custo_real_acumulado]]</f>
        <v>25752.98</v>
      </c>
      <c r="Q653">
        <f>IF(Tabela1[[#This Row],[data_fim_real]]="","",Tabela1[[#This Row],[data_fim_real]]-Tabela1[[#This Row],[data_inicio_real]])</f>
        <v>48</v>
      </c>
    </row>
    <row r="654" spans="1:17" ht="16.5" x14ac:dyDescent="0.5">
      <c r="A654" t="s">
        <v>1569</v>
      </c>
      <c r="B654" t="s">
        <v>1570</v>
      </c>
      <c r="C654" t="s">
        <v>738</v>
      </c>
      <c r="D654" t="s">
        <v>50</v>
      </c>
      <c r="E654" t="s">
        <v>19</v>
      </c>
      <c r="F654" s="1">
        <v>46061</v>
      </c>
      <c r="G654" s="1">
        <v>46101</v>
      </c>
      <c r="H654" s="1">
        <v>46070</v>
      </c>
      <c r="I654" s="1"/>
      <c r="J654" s="2">
        <v>52469.45</v>
      </c>
      <c r="K654" s="2">
        <v>55280.38</v>
      </c>
      <c r="L654" s="2">
        <v>73270.81</v>
      </c>
      <c r="M654">
        <v>1256</v>
      </c>
      <c r="N654">
        <v>1033</v>
      </c>
      <c r="O654" t="s">
        <v>26</v>
      </c>
      <c r="P654" s="2">
        <f>Tabela1[[#This Row],[orcamento_aprovado]]-Tabela1[[#This Row],[custo_real_acumulado]]</f>
        <v>-2810.9300000000003</v>
      </c>
      <c r="Q654" t="str">
        <f>IF(Tabela1[[#This Row],[data_fim_real]]="","",Tabela1[[#This Row],[data_fim_real]]-Tabela1[[#This Row],[data_inicio_real]])</f>
        <v/>
      </c>
    </row>
    <row r="655" spans="1:17" ht="16.5" x14ac:dyDescent="0.5">
      <c r="A655" t="s">
        <v>1571</v>
      </c>
      <c r="B655" t="s">
        <v>1572</v>
      </c>
      <c r="C655" t="s">
        <v>179</v>
      </c>
      <c r="D655" t="s">
        <v>38</v>
      </c>
      <c r="E655" t="s">
        <v>43</v>
      </c>
      <c r="F655" s="1">
        <v>46192</v>
      </c>
      <c r="G655" s="1">
        <v>46260</v>
      </c>
      <c r="H655" s="1">
        <v>46184</v>
      </c>
      <c r="I655" s="1">
        <v>46207</v>
      </c>
      <c r="J655" s="2">
        <v>112482.76</v>
      </c>
      <c r="K655" s="2">
        <v>5496.57</v>
      </c>
      <c r="L655" s="2">
        <v>81301.41</v>
      </c>
      <c r="M655">
        <v>1418</v>
      </c>
      <c r="N655">
        <v>65</v>
      </c>
      <c r="O655" t="s">
        <v>34</v>
      </c>
      <c r="P655" s="2">
        <f>Tabela1[[#This Row],[orcamento_aprovado]]-Tabela1[[#This Row],[custo_real_acumulado]]</f>
        <v>106986.19</v>
      </c>
      <c r="Q655">
        <f>IF(Tabela1[[#This Row],[data_fim_real]]="","",Tabela1[[#This Row],[data_fim_real]]-Tabela1[[#This Row],[data_inicio_real]])</f>
        <v>23</v>
      </c>
    </row>
    <row r="656" spans="1:17" ht="16.5" x14ac:dyDescent="0.5">
      <c r="A656" t="s">
        <v>1573</v>
      </c>
      <c r="B656" t="s">
        <v>1574</v>
      </c>
      <c r="C656" t="s">
        <v>285</v>
      </c>
      <c r="D656" t="s">
        <v>142</v>
      </c>
      <c r="E656" t="s">
        <v>43</v>
      </c>
      <c r="F656" s="1">
        <v>46190</v>
      </c>
      <c r="G656" s="1">
        <v>46273</v>
      </c>
      <c r="H656" s="1">
        <v>46174</v>
      </c>
      <c r="I656" s="1">
        <v>46223</v>
      </c>
      <c r="J656" s="2">
        <v>82747.350000000006</v>
      </c>
      <c r="K656" s="2">
        <v>99841.47</v>
      </c>
      <c r="L656" s="2">
        <v>50903.53</v>
      </c>
      <c r="M656">
        <v>1882</v>
      </c>
      <c r="N656">
        <v>2009</v>
      </c>
      <c r="O656" t="s">
        <v>21</v>
      </c>
      <c r="P656" s="2">
        <f>Tabela1[[#This Row],[orcamento_aprovado]]-Tabela1[[#This Row],[custo_real_acumulado]]</f>
        <v>-17094.119999999995</v>
      </c>
      <c r="Q656">
        <f>IF(Tabela1[[#This Row],[data_fim_real]]="","",Tabela1[[#This Row],[data_fim_real]]-Tabela1[[#This Row],[data_inicio_real]])</f>
        <v>49</v>
      </c>
    </row>
    <row r="657" spans="1:17" ht="16.5" x14ac:dyDescent="0.5">
      <c r="A657" t="s">
        <v>1575</v>
      </c>
      <c r="B657" t="s">
        <v>1576</v>
      </c>
      <c r="C657" t="s">
        <v>647</v>
      </c>
      <c r="D657" t="s">
        <v>18</v>
      </c>
      <c r="E657" t="s">
        <v>43</v>
      </c>
      <c r="F657" s="1">
        <v>46201</v>
      </c>
      <c r="G657" s="1">
        <v>46263</v>
      </c>
      <c r="H657" s="1"/>
      <c r="I657" s="1"/>
      <c r="J657" s="2">
        <v>368907.82</v>
      </c>
      <c r="K657" s="2">
        <v>0</v>
      </c>
      <c r="L657" s="2">
        <v>627013.36</v>
      </c>
      <c r="M657">
        <v>2108</v>
      </c>
      <c r="N657">
        <v>0</v>
      </c>
      <c r="O657" t="s">
        <v>26</v>
      </c>
      <c r="P657" s="2">
        <f>Tabela1[[#This Row],[orcamento_aprovado]]-Tabela1[[#This Row],[custo_real_acumulado]]</f>
        <v>368907.82</v>
      </c>
      <c r="Q657" t="str">
        <f>IF(Tabela1[[#This Row],[data_fim_real]]="","",Tabela1[[#This Row],[data_fim_real]]-Tabela1[[#This Row],[data_inicio_real]])</f>
        <v/>
      </c>
    </row>
    <row r="658" spans="1:17" ht="16.5" x14ac:dyDescent="0.5">
      <c r="A658" t="s">
        <v>1577</v>
      </c>
      <c r="B658" t="s">
        <v>1578</v>
      </c>
      <c r="C658" t="s">
        <v>288</v>
      </c>
      <c r="D658" t="s">
        <v>142</v>
      </c>
      <c r="E658" t="s">
        <v>19</v>
      </c>
      <c r="F658" s="1">
        <v>46250</v>
      </c>
      <c r="G658" s="1">
        <v>46365</v>
      </c>
      <c r="H658" s="1">
        <v>46265</v>
      </c>
      <c r="I658" s="1"/>
      <c r="J658" s="2">
        <v>130201.93</v>
      </c>
      <c r="K658" s="2">
        <v>109904.29</v>
      </c>
      <c r="L658" s="2">
        <v>127981.41</v>
      </c>
      <c r="M658">
        <v>4691</v>
      </c>
      <c r="N658">
        <v>3938</v>
      </c>
      <c r="O658" t="s">
        <v>34</v>
      </c>
      <c r="P658" s="2">
        <f>Tabela1[[#This Row],[orcamento_aprovado]]-Tabela1[[#This Row],[custo_real_acumulado]]</f>
        <v>20297.64</v>
      </c>
      <c r="Q658" t="str">
        <f>IF(Tabela1[[#This Row],[data_fim_real]]="","",Tabela1[[#This Row],[data_fim_real]]-Tabela1[[#This Row],[data_inicio_real]])</f>
        <v/>
      </c>
    </row>
    <row r="659" spans="1:17" ht="16.5" x14ac:dyDescent="0.5">
      <c r="A659" t="s">
        <v>1579</v>
      </c>
      <c r="B659" t="s">
        <v>1580</v>
      </c>
      <c r="C659" t="s">
        <v>460</v>
      </c>
      <c r="D659" t="s">
        <v>54</v>
      </c>
      <c r="E659" t="s">
        <v>20</v>
      </c>
      <c r="F659" s="1">
        <v>46206</v>
      </c>
      <c r="G659" s="1">
        <v>46269</v>
      </c>
      <c r="H659" s="1">
        <v>46207</v>
      </c>
      <c r="I659" s="1">
        <v>46279</v>
      </c>
      <c r="J659" s="2">
        <v>143875.12</v>
      </c>
      <c r="K659" s="2">
        <v>172760.58</v>
      </c>
      <c r="L659" s="2">
        <v>227971.05</v>
      </c>
      <c r="M659">
        <v>1862</v>
      </c>
      <c r="N659">
        <v>2199</v>
      </c>
      <c r="O659" t="s">
        <v>21</v>
      </c>
      <c r="P659" s="2">
        <f>Tabela1[[#This Row],[orcamento_aprovado]]-Tabela1[[#This Row],[custo_real_acumulado]]</f>
        <v>-28885.459999999992</v>
      </c>
      <c r="Q659">
        <f>IF(Tabela1[[#This Row],[data_fim_real]]="","",Tabela1[[#This Row],[data_fim_real]]-Tabela1[[#This Row],[data_inicio_real]])</f>
        <v>72</v>
      </c>
    </row>
    <row r="660" spans="1:17" ht="16.5" x14ac:dyDescent="0.5">
      <c r="A660" t="s">
        <v>1581</v>
      </c>
      <c r="B660" t="s">
        <v>1582</v>
      </c>
      <c r="C660" t="s">
        <v>218</v>
      </c>
      <c r="D660" t="s">
        <v>142</v>
      </c>
      <c r="E660" t="s">
        <v>19</v>
      </c>
      <c r="F660" s="1">
        <v>46181</v>
      </c>
      <c r="G660" s="1">
        <v>46254</v>
      </c>
      <c r="H660" s="1">
        <v>46193</v>
      </c>
      <c r="I660" s="1">
        <v>46319</v>
      </c>
      <c r="J660" s="2">
        <v>50000</v>
      </c>
      <c r="K660" s="2">
        <v>45487.69</v>
      </c>
      <c r="L660" s="2">
        <v>59570.77</v>
      </c>
      <c r="M660">
        <v>3464</v>
      </c>
      <c r="N660">
        <v>3758</v>
      </c>
      <c r="O660" t="s">
        <v>26</v>
      </c>
      <c r="P660" s="2">
        <f>Tabela1[[#This Row],[orcamento_aprovado]]-Tabela1[[#This Row],[custo_real_acumulado]]</f>
        <v>4512.3099999999977</v>
      </c>
      <c r="Q660">
        <f>IF(Tabela1[[#This Row],[data_fim_real]]="","",Tabela1[[#This Row],[data_fim_real]]-Tabela1[[#This Row],[data_inicio_real]])</f>
        <v>126</v>
      </c>
    </row>
    <row r="661" spans="1:17" ht="16.5" x14ac:dyDescent="0.5">
      <c r="A661" t="s">
        <v>1583</v>
      </c>
      <c r="B661" t="s">
        <v>1584</v>
      </c>
      <c r="C661" t="s">
        <v>243</v>
      </c>
      <c r="D661" t="s">
        <v>54</v>
      </c>
      <c r="E661" t="s">
        <v>20</v>
      </c>
      <c r="F661" s="1">
        <v>46263</v>
      </c>
      <c r="G661" s="1">
        <v>46387</v>
      </c>
      <c r="H661" s="1">
        <v>46258</v>
      </c>
      <c r="I661" s="1"/>
      <c r="J661" s="2">
        <v>68723.600000000006</v>
      </c>
      <c r="K661" s="2">
        <v>32704.79</v>
      </c>
      <c r="L661" s="2">
        <v>23631.46</v>
      </c>
      <c r="M661">
        <v>3088</v>
      </c>
      <c r="N661">
        <v>1661</v>
      </c>
      <c r="O661" t="s">
        <v>34</v>
      </c>
      <c r="P661" s="2">
        <f>Tabela1[[#This Row],[orcamento_aprovado]]-Tabela1[[#This Row],[custo_real_acumulado]]</f>
        <v>36018.810000000005</v>
      </c>
      <c r="Q661" t="str">
        <f>IF(Tabela1[[#This Row],[data_fim_real]]="","",Tabela1[[#This Row],[data_fim_real]]-Tabela1[[#This Row],[data_inicio_real]])</f>
        <v/>
      </c>
    </row>
    <row r="662" spans="1:17" ht="16.5" x14ac:dyDescent="0.5">
      <c r="A662" t="s">
        <v>1585</v>
      </c>
      <c r="B662" t="s">
        <v>1586</v>
      </c>
      <c r="C662" t="s">
        <v>949</v>
      </c>
      <c r="D662" t="s">
        <v>54</v>
      </c>
      <c r="E662" t="s">
        <v>19</v>
      </c>
      <c r="F662" s="1">
        <v>46179</v>
      </c>
      <c r="G662" s="1">
        <v>46258</v>
      </c>
      <c r="H662" s="1">
        <v>46162</v>
      </c>
      <c r="I662" s="1"/>
      <c r="J662" s="2">
        <v>119604.8</v>
      </c>
      <c r="K662" s="2">
        <v>15980.43</v>
      </c>
      <c r="L662" s="2">
        <v>46232.67</v>
      </c>
      <c r="M662">
        <v>2350</v>
      </c>
      <c r="N662">
        <v>310</v>
      </c>
      <c r="O662" t="s">
        <v>21</v>
      </c>
      <c r="P662" s="2">
        <f>Tabela1[[#This Row],[orcamento_aprovado]]-Tabela1[[#This Row],[custo_real_acumulado]]</f>
        <v>103624.37</v>
      </c>
      <c r="Q662" t="str">
        <f>IF(Tabela1[[#This Row],[data_fim_real]]="","",Tabela1[[#This Row],[data_fim_real]]-Tabela1[[#This Row],[data_inicio_real]])</f>
        <v/>
      </c>
    </row>
    <row r="663" spans="1:17" ht="16.5" x14ac:dyDescent="0.5">
      <c r="A663" t="s">
        <v>1587</v>
      </c>
      <c r="B663" t="s">
        <v>1588</v>
      </c>
      <c r="C663" t="s">
        <v>614</v>
      </c>
      <c r="D663" t="s">
        <v>142</v>
      </c>
      <c r="E663" t="s">
        <v>19</v>
      </c>
      <c r="F663" s="1">
        <v>46201</v>
      </c>
      <c r="G663" s="1">
        <v>46238</v>
      </c>
      <c r="H663" s="1">
        <v>46189</v>
      </c>
      <c r="I663" s="1"/>
      <c r="J663" s="2">
        <v>186537.98</v>
      </c>
      <c r="K663" s="2">
        <v>170905.86</v>
      </c>
      <c r="L663" s="2">
        <v>254439.22</v>
      </c>
      <c r="M663">
        <v>255</v>
      </c>
      <c r="N663">
        <v>251</v>
      </c>
      <c r="O663" t="s">
        <v>26</v>
      </c>
      <c r="P663" s="2">
        <f>Tabela1[[#This Row],[orcamento_aprovado]]-Tabela1[[#This Row],[custo_real_acumulado]]</f>
        <v>15632.120000000024</v>
      </c>
      <c r="Q663" t="str">
        <f>IF(Tabela1[[#This Row],[data_fim_real]]="","",Tabela1[[#This Row],[data_fim_real]]-Tabela1[[#This Row],[data_inicio_real]])</f>
        <v/>
      </c>
    </row>
    <row r="664" spans="1:17" ht="16.5" x14ac:dyDescent="0.5">
      <c r="A664" t="s">
        <v>1589</v>
      </c>
      <c r="B664" t="s">
        <v>1590</v>
      </c>
      <c r="C664" t="s">
        <v>859</v>
      </c>
      <c r="D664" t="s">
        <v>78</v>
      </c>
      <c r="E664" t="s">
        <v>43</v>
      </c>
      <c r="F664" s="1">
        <v>46210</v>
      </c>
      <c r="G664" s="1">
        <v>46304</v>
      </c>
      <c r="H664" s="1">
        <v>46220</v>
      </c>
      <c r="I664" s="1"/>
      <c r="J664" s="2">
        <v>143771.26</v>
      </c>
      <c r="K664" s="2">
        <v>90111.38</v>
      </c>
      <c r="L664" s="2">
        <v>71561.33</v>
      </c>
      <c r="M664">
        <v>3235</v>
      </c>
      <c r="N664">
        <v>1655</v>
      </c>
      <c r="O664" t="s">
        <v>34</v>
      </c>
      <c r="P664" s="2">
        <f>Tabela1[[#This Row],[orcamento_aprovado]]-Tabela1[[#This Row],[custo_real_acumulado]]</f>
        <v>53659.880000000005</v>
      </c>
      <c r="Q664" t="str">
        <f>IF(Tabela1[[#This Row],[data_fim_real]]="","",Tabela1[[#This Row],[data_fim_real]]-Tabela1[[#This Row],[data_inicio_real]])</f>
        <v/>
      </c>
    </row>
    <row r="665" spans="1:17" ht="16.5" x14ac:dyDescent="0.5">
      <c r="A665" t="s">
        <v>1591</v>
      </c>
      <c r="B665" t="s">
        <v>1592</v>
      </c>
      <c r="C665" t="s">
        <v>389</v>
      </c>
      <c r="D665" t="s">
        <v>18</v>
      </c>
      <c r="E665" t="s">
        <v>19</v>
      </c>
      <c r="F665" s="1">
        <v>46151</v>
      </c>
      <c r="G665" s="1">
        <v>46291</v>
      </c>
      <c r="H665" s="1">
        <v>46137</v>
      </c>
      <c r="I665" s="1"/>
      <c r="J665" s="2">
        <v>114447.54</v>
      </c>
      <c r="K665" s="2">
        <v>107999.98</v>
      </c>
      <c r="L665" s="2">
        <v>78868.42</v>
      </c>
      <c r="M665">
        <v>4659</v>
      </c>
      <c r="N665">
        <v>4197</v>
      </c>
      <c r="O665" t="s">
        <v>21</v>
      </c>
      <c r="P665" s="2">
        <f>Tabela1[[#This Row],[orcamento_aprovado]]-Tabela1[[#This Row],[custo_real_acumulado]]</f>
        <v>6447.5599999999977</v>
      </c>
      <c r="Q665" t="str">
        <f>IF(Tabela1[[#This Row],[data_fim_real]]="","",Tabela1[[#This Row],[data_fim_real]]-Tabela1[[#This Row],[data_inicio_real]])</f>
        <v/>
      </c>
    </row>
    <row r="666" spans="1:17" ht="16.5" x14ac:dyDescent="0.5">
      <c r="A666" t="s">
        <v>1593</v>
      </c>
      <c r="B666" t="s">
        <v>1594</v>
      </c>
      <c r="C666" t="s">
        <v>1550</v>
      </c>
      <c r="D666" t="s">
        <v>54</v>
      </c>
      <c r="E666" t="s">
        <v>19</v>
      </c>
      <c r="F666" s="1">
        <v>46030</v>
      </c>
      <c r="G666" s="1">
        <v>46119</v>
      </c>
      <c r="H666" s="1">
        <v>46038</v>
      </c>
      <c r="I666" s="1"/>
      <c r="J666" s="2">
        <v>50000</v>
      </c>
      <c r="K666" s="2">
        <v>22431.03</v>
      </c>
      <c r="L666" s="2">
        <v>30411.81</v>
      </c>
      <c r="M666">
        <v>4096</v>
      </c>
      <c r="N666">
        <v>1876</v>
      </c>
      <c r="O666" t="s">
        <v>26</v>
      </c>
      <c r="P666" s="2">
        <f>Tabela1[[#This Row],[orcamento_aprovado]]-Tabela1[[#This Row],[custo_real_acumulado]]</f>
        <v>27568.97</v>
      </c>
      <c r="Q666" t="str">
        <f>IF(Tabela1[[#This Row],[data_fim_real]]="","",Tabela1[[#This Row],[data_fim_real]]-Tabela1[[#This Row],[data_inicio_real]])</f>
        <v/>
      </c>
    </row>
    <row r="667" spans="1:17" ht="16.5" x14ac:dyDescent="0.5">
      <c r="A667" t="s">
        <v>1595</v>
      </c>
      <c r="B667" t="s">
        <v>1596</v>
      </c>
      <c r="C667" t="s">
        <v>121</v>
      </c>
      <c r="D667" t="s">
        <v>71</v>
      </c>
      <c r="E667" t="s">
        <v>43</v>
      </c>
      <c r="F667" s="1">
        <v>46358</v>
      </c>
      <c r="G667" s="1">
        <v>46377</v>
      </c>
      <c r="H667" s="1">
        <v>46374</v>
      </c>
      <c r="I667" s="1"/>
      <c r="J667" s="2">
        <v>77481.75</v>
      </c>
      <c r="K667" s="2">
        <v>63388.3</v>
      </c>
      <c r="L667" s="2">
        <v>49689.38</v>
      </c>
      <c r="M667">
        <v>546</v>
      </c>
      <c r="N667">
        <v>427</v>
      </c>
      <c r="O667" t="s">
        <v>34</v>
      </c>
      <c r="P667" s="2">
        <f>Tabela1[[#This Row],[orcamento_aprovado]]-Tabela1[[#This Row],[custo_real_acumulado]]</f>
        <v>14093.449999999997</v>
      </c>
      <c r="Q667" t="str">
        <f>IF(Tabela1[[#This Row],[data_fim_real]]="","",Tabela1[[#This Row],[data_fim_real]]-Tabela1[[#This Row],[data_inicio_real]])</f>
        <v/>
      </c>
    </row>
    <row r="668" spans="1:17" ht="16.5" x14ac:dyDescent="0.5">
      <c r="A668" t="s">
        <v>1597</v>
      </c>
      <c r="B668" t="s">
        <v>1598</v>
      </c>
      <c r="C668" t="s">
        <v>138</v>
      </c>
      <c r="D668" t="s">
        <v>78</v>
      </c>
      <c r="E668" t="s">
        <v>19</v>
      </c>
      <c r="F668" s="1">
        <v>46071</v>
      </c>
      <c r="G668" s="1">
        <v>46120</v>
      </c>
      <c r="H668" s="1"/>
      <c r="I668" s="1"/>
      <c r="J668" s="2">
        <v>103190.18</v>
      </c>
      <c r="K668" s="2">
        <v>0</v>
      </c>
      <c r="L668" s="2">
        <v>126207.67999999999</v>
      </c>
      <c r="M668">
        <v>1518</v>
      </c>
      <c r="N668">
        <v>0</v>
      </c>
      <c r="O668" t="s">
        <v>21</v>
      </c>
      <c r="P668" s="2">
        <f>Tabela1[[#This Row],[orcamento_aprovado]]-Tabela1[[#This Row],[custo_real_acumulado]]</f>
        <v>103190.18</v>
      </c>
      <c r="Q668" t="str">
        <f>IF(Tabela1[[#This Row],[data_fim_real]]="","",Tabela1[[#This Row],[data_fim_real]]-Tabela1[[#This Row],[data_inicio_real]])</f>
        <v/>
      </c>
    </row>
    <row r="669" spans="1:17" ht="16.5" x14ac:dyDescent="0.5">
      <c r="A669" t="s">
        <v>1599</v>
      </c>
      <c r="B669" t="s">
        <v>1600</v>
      </c>
      <c r="C669" t="s">
        <v>194</v>
      </c>
      <c r="D669" t="s">
        <v>54</v>
      </c>
      <c r="E669" t="s">
        <v>19</v>
      </c>
      <c r="F669" s="1">
        <v>46136</v>
      </c>
      <c r="G669" s="1">
        <v>46272</v>
      </c>
      <c r="H669" s="1">
        <v>46147</v>
      </c>
      <c r="I669" s="1"/>
      <c r="J669" s="2">
        <v>210904.05</v>
      </c>
      <c r="K669" s="2">
        <v>44320.83</v>
      </c>
      <c r="L669" s="2">
        <v>124764.08</v>
      </c>
      <c r="M669">
        <v>5391</v>
      </c>
      <c r="N669">
        <v>1205</v>
      </c>
      <c r="O669" t="s">
        <v>26</v>
      </c>
      <c r="P669" s="2">
        <f>Tabela1[[#This Row],[orcamento_aprovado]]-Tabela1[[#This Row],[custo_real_acumulado]]</f>
        <v>166583.21999999997</v>
      </c>
      <c r="Q669" t="str">
        <f>IF(Tabela1[[#This Row],[data_fim_real]]="","",Tabela1[[#This Row],[data_fim_real]]-Tabela1[[#This Row],[data_inicio_real]])</f>
        <v/>
      </c>
    </row>
    <row r="670" spans="1:17" ht="16.5" x14ac:dyDescent="0.5">
      <c r="A670" t="s">
        <v>1601</v>
      </c>
      <c r="B670" t="s">
        <v>1602</v>
      </c>
      <c r="C670" t="s">
        <v>445</v>
      </c>
      <c r="D670" t="s">
        <v>50</v>
      </c>
      <c r="E670" t="s">
        <v>43</v>
      </c>
      <c r="F670" s="1">
        <v>46138</v>
      </c>
      <c r="G670" s="1">
        <v>46193</v>
      </c>
      <c r="H670" s="1">
        <v>46128</v>
      </c>
      <c r="I670" s="1"/>
      <c r="J670" s="2">
        <v>158528.73000000001</v>
      </c>
      <c r="K670" s="2">
        <v>172732.15</v>
      </c>
      <c r="L670" s="2">
        <v>281486.17</v>
      </c>
      <c r="M670">
        <v>1879</v>
      </c>
      <c r="N670">
        <v>1805</v>
      </c>
      <c r="O670" t="s">
        <v>34</v>
      </c>
      <c r="P670" s="2">
        <f>Tabela1[[#This Row],[orcamento_aprovado]]-Tabela1[[#This Row],[custo_real_acumulado]]</f>
        <v>-14203.419999999984</v>
      </c>
      <c r="Q670" t="str">
        <f>IF(Tabela1[[#This Row],[data_fim_real]]="","",Tabela1[[#This Row],[data_fim_real]]-Tabela1[[#This Row],[data_inicio_real]])</f>
        <v/>
      </c>
    </row>
    <row r="671" spans="1:17" ht="16.5" x14ac:dyDescent="0.5">
      <c r="A671" t="s">
        <v>1603</v>
      </c>
      <c r="B671" t="s">
        <v>1604</v>
      </c>
      <c r="C671" t="s">
        <v>112</v>
      </c>
      <c r="D671" t="s">
        <v>38</v>
      </c>
      <c r="E671" t="s">
        <v>43</v>
      </c>
      <c r="F671" s="1">
        <v>46151</v>
      </c>
      <c r="G671" s="1">
        <v>46167</v>
      </c>
      <c r="H671" s="1">
        <v>46134</v>
      </c>
      <c r="I671" s="1">
        <v>46153</v>
      </c>
      <c r="J671" s="2">
        <v>58073.71</v>
      </c>
      <c r="K671" s="2">
        <v>67129.679999999993</v>
      </c>
      <c r="L671" s="2">
        <v>118402.71</v>
      </c>
      <c r="M671">
        <v>416</v>
      </c>
      <c r="N671">
        <v>351</v>
      </c>
      <c r="O671" t="s">
        <v>21</v>
      </c>
      <c r="P671" s="2">
        <f>Tabela1[[#This Row],[orcamento_aprovado]]-Tabela1[[#This Row],[custo_real_acumulado]]</f>
        <v>-9055.9699999999939</v>
      </c>
      <c r="Q671">
        <f>IF(Tabela1[[#This Row],[data_fim_real]]="","",Tabela1[[#This Row],[data_fim_real]]-Tabela1[[#This Row],[data_inicio_real]])</f>
        <v>19</v>
      </c>
    </row>
    <row r="672" spans="1:17" ht="16.5" x14ac:dyDescent="0.5">
      <c r="A672" t="s">
        <v>1605</v>
      </c>
      <c r="B672" t="s">
        <v>1606</v>
      </c>
      <c r="C672" t="s">
        <v>647</v>
      </c>
      <c r="D672" t="s">
        <v>58</v>
      </c>
      <c r="E672" t="s">
        <v>19</v>
      </c>
      <c r="F672" s="1">
        <v>46202</v>
      </c>
      <c r="G672" s="1">
        <v>46236</v>
      </c>
      <c r="H672" s="1">
        <v>46209</v>
      </c>
      <c r="I672" s="1"/>
      <c r="J672" s="2">
        <v>239062.58</v>
      </c>
      <c r="K672" s="2">
        <v>272640.65999999997</v>
      </c>
      <c r="L672" s="2">
        <v>198646.8</v>
      </c>
      <c r="M672">
        <v>983</v>
      </c>
      <c r="N672">
        <v>924</v>
      </c>
      <c r="O672" t="s">
        <v>26</v>
      </c>
      <c r="P672" s="2">
        <f>Tabela1[[#This Row],[orcamento_aprovado]]-Tabela1[[#This Row],[custo_real_acumulado]]</f>
        <v>-33578.079999999987</v>
      </c>
      <c r="Q672" t="str">
        <f>IF(Tabela1[[#This Row],[data_fim_real]]="","",Tabela1[[#This Row],[data_fim_real]]-Tabela1[[#This Row],[data_inicio_real]])</f>
        <v/>
      </c>
    </row>
    <row r="673" spans="1:17" ht="16.5" x14ac:dyDescent="0.5">
      <c r="A673" t="s">
        <v>1607</v>
      </c>
      <c r="B673" t="s">
        <v>1608</v>
      </c>
      <c r="C673" t="s">
        <v>191</v>
      </c>
      <c r="D673" t="s">
        <v>33</v>
      </c>
      <c r="E673" t="s">
        <v>43</v>
      </c>
      <c r="F673" s="1">
        <v>46264</v>
      </c>
      <c r="G673" s="1">
        <v>46293</v>
      </c>
      <c r="H673" s="1">
        <v>46254</v>
      </c>
      <c r="I673" s="1"/>
      <c r="J673" s="2">
        <v>247880.31</v>
      </c>
      <c r="K673" s="2">
        <v>152213.25</v>
      </c>
      <c r="L673" s="2">
        <v>499059.7</v>
      </c>
      <c r="M673">
        <v>578</v>
      </c>
      <c r="N673">
        <v>284</v>
      </c>
      <c r="O673" t="s">
        <v>34</v>
      </c>
      <c r="P673" s="2">
        <f>Tabela1[[#This Row],[orcamento_aprovado]]-Tabela1[[#This Row],[custo_real_acumulado]]</f>
        <v>95667.06</v>
      </c>
      <c r="Q673" t="str">
        <f>IF(Tabela1[[#This Row],[data_fim_real]]="","",Tabela1[[#This Row],[data_fim_real]]-Tabela1[[#This Row],[data_inicio_real]])</f>
        <v/>
      </c>
    </row>
    <row r="674" spans="1:17" ht="16.5" x14ac:dyDescent="0.5">
      <c r="A674" t="s">
        <v>1609</v>
      </c>
      <c r="B674" t="s">
        <v>1610</v>
      </c>
      <c r="C674" t="s">
        <v>571</v>
      </c>
      <c r="D674" t="s">
        <v>38</v>
      </c>
      <c r="E674" t="s">
        <v>20</v>
      </c>
      <c r="F674" s="1">
        <v>46272</v>
      </c>
      <c r="G674" s="1">
        <v>46377</v>
      </c>
      <c r="H674" s="1">
        <v>46260</v>
      </c>
      <c r="I674" s="1"/>
      <c r="J674" s="2">
        <v>68534.97</v>
      </c>
      <c r="K674" s="2">
        <v>75336.89</v>
      </c>
      <c r="L674" s="2">
        <v>47185.42</v>
      </c>
      <c r="M674">
        <v>2144</v>
      </c>
      <c r="N674">
        <v>1795</v>
      </c>
      <c r="O674" t="s">
        <v>21</v>
      </c>
      <c r="P674" s="2">
        <f>Tabela1[[#This Row],[orcamento_aprovado]]-Tabela1[[#This Row],[custo_real_acumulado]]</f>
        <v>-6801.9199999999983</v>
      </c>
      <c r="Q674" t="str">
        <f>IF(Tabela1[[#This Row],[data_fim_real]]="","",Tabela1[[#This Row],[data_fim_real]]-Tabela1[[#This Row],[data_inicio_real]])</f>
        <v/>
      </c>
    </row>
    <row r="675" spans="1:17" ht="16.5" x14ac:dyDescent="0.5">
      <c r="A675" t="s">
        <v>1611</v>
      </c>
      <c r="B675" t="s">
        <v>1612</v>
      </c>
      <c r="C675" t="s">
        <v>1083</v>
      </c>
      <c r="D675" t="s">
        <v>78</v>
      </c>
      <c r="E675" t="s">
        <v>42</v>
      </c>
      <c r="F675" s="1">
        <v>46205</v>
      </c>
      <c r="G675" s="1">
        <v>46305</v>
      </c>
      <c r="H675" s="1">
        <v>46193</v>
      </c>
      <c r="I675" s="1"/>
      <c r="J675" s="2">
        <v>170687.37</v>
      </c>
      <c r="K675" s="2">
        <v>112473.71</v>
      </c>
      <c r="L675" s="2">
        <v>364418.2</v>
      </c>
      <c r="M675">
        <v>938</v>
      </c>
      <c r="N675">
        <v>529</v>
      </c>
      <c r="O675" t="s">
        <v>26</v>
      </c>
      <c r="P675" s="2">
        <f>Tabela1[[#This Row],[orcamento_aprovado]]-Tabela1[[#This Row],[custo_real_acumulado]]</f>
        <v>58213.659999999989</v>
      </c>
      <c r="Q675" t="str">
        <f>IF(Tabela1[[#This Row],[data_fim_real]]="","",Tabela1[[#This Row],[data_fim_real]]-Tabela1[[#This Row],[data_inicio_real]])</f>
        <v/>
      </c>
    </row>
    <row r="676" spans="1:17" ht="16.5" x14ac:dyDescent="0.5">
      <c r="A676" t="s">
        <v>1613</v>
      </c>
      <c r="B676" t="s">
        <v>1614</v>
      </c>
      <c r="C676" t="s">
        <v>200</v>
      </c>
      <c r="D676" t="s">
        <v>25</v>
      </c>
      <c r="E676" t="s">
        <v>43</v>
      </c>
      <c r="F676" s="1">
        <v>46078</v>
      </c>
      <c r="G676" s="1">
        <v>46152</v>
      </c>
      <c r="H676" s="1">
        <v>46078</v>
      </c>
      <c r="I676" s="1"/>
      <c r="J676" s="2">
        <v>50120.46</v>
      </c>
      <c r="K676" s="2">
        <v>31418.82</v>
      </c>
      <c r="L676" s="2">
        <v>33860.120000000003</v>
      </c>
      <c r="M676">
        <v>1000</v>
      </c>
      <c r="N676">
        <v>565</v>
      </c>
      <c r="O676" t="s">
        <v>34</v>
      </c>
      <c r="P676" s="2">
        <f>Tabela1[[#This Row],[orcamento_aprovado]]-Tabela1[[#This Row],[custo_real_acumulado]]</f>
        <v>18701.64</v>
      </c>
      <c r="Q676" t="str">
        <f>IF(Tabela1[[#This Row],[data_fim_real]]="","",Tabela1[[#This Row],[data_fim_real]]-Tabela1[[#This Row],[data_inicio_real]])</f>
        <v/>
      </c>
    </row>
    <row r="677" spans="1:17" ht="16.5" x14ac:dyDescent="0.5">
      <c r="A677" t="s">
        <v>1615</v>
      </c>
      <c r="B677" t="s">
        <v>1616</v>
      </c>
      <c r="C677" t="s">
        <v>519</v>
      </c>
      <c r="D677" t="s">
        <v>25</v>
      </c>
      <c r="E677" t="s">
        <v>42</v>
      </c>
      <c r="F677" s="1">
        <v>46036</v>
      </c>
      <c r="G677" s="1">
        <v>46050</v>
      </c>
      <c r="H677" s="1">
        <v>46046</v>
      </c>
      <c r="I677" s="1"/>
      <c r="J677" s="2">
        <v>291371.28999999998</v>
      </c>
      <c r="K677" s="2">
        <v>207476.48000000001</v>
      </c>
      <c r="L677" s="2">
        <v>611724.22</v>
      </c>
      <c r="M677">
        <v>429</v>
      </c>
      <c r="N677">
        <v>250</v>
      </c>
      <c r="O677" t="s">
        <v>21</v>
      </c>
      <c r="P677" s="2">
        <f>Tabela1[[#This Row],[orcamento_aprovado]]-Tabela1[[#This Row],[custo_real_acumulado]]</f>
        <v>83894.809999999969</v>
      </c>
      <c r="Q677" t="str">
        <f>IF(Tabela1[[#This Row],[data_fim_real]]="","",Tabela1[[#This Row],[data_fim_real]]-Tabela1[[#This Row],[data_inicio_real]])</f>
        <v/>
      </c>
    </row>
    <row r="678" spans="1:17" ht="16.5" x14ac:dyDescent="0.5">
      <c r="A678" t="s">
        <v>1617</v>
      </c>
      <c r="B678" t="s">
        <v>1618</v>
      </c>
      <c r="C678" t="s">
        <v>53</v>
      </c>
      <c r="D678" t="s">
        <v>58</v>
      </c>
      <c r="E678" t="s">
        <v>43</v>
      </c>
      <c r="F678" s="1">
        <v>46105</v>
      </c>
      <c r="G678" s="1">
        <v>46173</v>
      </c>
      <c r="H678" s="1">
        <v>46109</v>
      </c>
      <c r="I678" s="1"/>
      <c r="J678" s="2">
        <v>154486.62</v>
      </c>
      <c r="K678" s="2">
        <v>89138.3</v>
      </c>
      <c r="L678" s="2">
        <v>138118.29999999999</v>
      </c>
      <c r="M678">
        <v>1489</v>
      </c>
      <c r="N678">
        <v>1078</v>
      </c>
      <c r="O678" t="s">
        <v>26</v>
      </c>
      <c r="P678" s="2">
        <f>Tabela1[[#This Row],[orcamento_aprovado]]-Tabela1[[#This Row],[custo_real_acumulado]]</f>
        <v>65348.319999999992</v>
      </c>
      <c r="Q678" t="str">
        <f>IF(Tabela1[[#This Row],[data_fim_real]]="","",Tabela1[[#This Row],[data_fim_real]]-Tabela1[[#This Row],[data_inicio_real]])</f>
        <v/>
      </c>
    </row>
    <row r="679" spans="1:17" ht="16.5" x14ac:dyDescent="0.5">
      <c r="A679" t="s">
        <v>1619</v>
      </c>
      <c r="B679" t="s">
        <v>1620</v>
      </c>
      <c r="C679" t="s">
        <v>29</v>
      </c>
      <c r="D679" t="s">
        <v>58</v>
      </c>
      <c r="E679" t="s">
        <v>19</v>
      </c>
      <c r="F679" s="1">
        <v>46183</v>
      </c>
      <c r="G679" s="1">
        <v>46274</v>
      </c>
      <c r="H679" s="1">
        <v>46184</v>
      </c>
      <c r="I679" s="1"/>
      <c r="J679" s="2">
        <v>82225.600000000006</v>
      </c>
      <c r="K679" s="2">
        <v>29037.75</v>
      </c>
      <c r="L679" s="2">
        <v>118034.44</v>
      </c>
      <c r="M679">
        <v>3108</v>
      </c>
      <c r="N679">
        <v>1721</v>
      </c>
      <c r="O679" t="s">
        <v>34</v>
      </c>
      <c r="P679" s="2">
        <f>Tabela1[[#This Row],[orcamento_aprovado]]-Tabela1[[#This Row],[custo_real_acumulado]]</f>
        <v>53187.850000000006</v>
      </c>
      <c r="Q679" t="str">
        <f>IF(Tabela1[[#This Row],[data_fim_real]]="","",Tabela1[[#This Row],[data_fim_real]]-Tabela1[[#This Row],[data_inicio_real]])</f>
        <v/>
      </c>
    </row>
    <row r="680" spans="1:17" ht="16.5" x14ac:dyDescent="0.5">
      <c r="A680" t="s">
        <v>1621</v>
      </c>
      <c r="B680" t="s">
        <v>1622</v>
      </c>
      <c r="C680" t="s">
        <v>662</v>
      </c>
      <c r="D680" t="s">
        <v>54</v>
      </c>
      <c r="E680" t="s">
        <v>20</v>
      </c>
      <c r="F680" s="1">
        <v>46351</v>
      </c>
      <c r="G680" s="1">
        <v>46387</v>
      </c>
      <c r="H680" s="1">
        <v>46350</v>
      </c>
      <c r="I680" s="1"/>
      <c r="J680" s="2">
        <v>57800.480000000003</v>
      </c>
      <c r="K680" s="2">
        <v>13856.92</v>
      </c>
      <c r="L680" s="2">
        <v>125115.87</v>
      </c>
      <c r="M680">
        <v>2080</v>
      </c>
      <c r="N680">
        <v>428</v>
      </c>
      <c r="O680" t="s">
        <v>21</v>
      </c>
      <c r="P680" s="2">
        <f>Tabela1[[#This Row],[orcamento_aprovado]]-Tabela1[[#This Row],[custo_real_acumulado]]</f>
        <v>43943.560000000005</v>
      </c>
      <c r="Q680" t="str">
        <f>IF(Tabela1[[#This Row],[data_fim_real]]="","",Tabela1[[#This Row],[data_fim_real]]-Tabela1[[#This Row],[data_inicio_real]])</f>
        <v/>
      </c>
    </row>
    <row r="681" spans="1:17" ht="16.5" x14ac:dyDescent="0.5">
      <c r="A681" t="s">
        <v>1623</v>
      </c>
      <c r="B681" t="s">
        <v>1624</v>
      </c>
      <c r="C681" t="s">
        <v>677</v>
      </c>
      <c r="D681" t="s">
        <v>33</v>
      </c>
      <c r="E681" t="s">
        <v>20</v>
      </c>
      <c r="F681" s="1">
        <v>46337</v>
      </c>
      <c r="G681" s="1">
        <v>46387</v>
      </c>
      <c r="H681" s="1">
        <v>46356</v>
      </c>
      <c r="I681" s="1">
        <v>46387</v>
      </c>
      <c r="J681" s="2">
        <v>60396.42</v>
      </c>
      <c r="K681" s="2">
        <v>61614.77</v>
      </c>
      <c r="L681" s="2">
        <v>104814.35</v>
      </c>
      <c r="M681">
        <v>1733</v>
      </c>
      <c r="N681">
        <v>2073</v>
      </c>
      <c r="O681" t="s">
        <v>26</v>
      </c>
      <c r="P681" s="2">
        <f>Tabela1[[#This Row],[orcamento_aprovado]]-Tabela1[[#This Row],[custo_real_acumulado]]</f>
        <v>-1218.3499999999985</v>
      </c>
      <c r="Q681">
        <f>IF(Tabela1[[#This Row],[data_fim_real]]="","",Tabela1[[#This Row],[data_fim_real]]-Tabela1[[#This Row],[data_inicio_real]])</f>
        <v>31</v>
      </c>
    </row>
    <row r="682" spans="1:17" ht="16.5" x14ac:dyDescent="0.5">
      <c r="A682" t="s">
        <v>1625</v>
      </c>
      <c r="B682" t="s">
        <v>1626</v>
      </c>
      <c r="C682" t="s">
        <v>1627</v>
      </c>
      <c r="D682" t="s">
        <v>58</v>
      </c>
      <c r="E682" t="s">
        <v>19</v>
      </c>
      <c r="F682" s="1">
        <v>46174</v>
      </c>
      <c r="G682" s="1">
        <v>46244</v>
      </c>
      <c r="H682" s="1">
        <v>46176</v>
      </c>
      <c r="I682" s="1">
        <v>46262</v>
      </c>
      <c r="J682" s="2">
        <v>50000</v>
      </c>
      <c r="K682" s="2">
        <v>54741.59</v>
      </c>
      <c r="L682" s="2">
        <v>89847.15</v>
      </c>
      <c r="M682">
        <v>1890</v>
      </c>
      <c r="N682">
        <v>2178</v>
      </c>
      <c r="O682" t="s">
        <v>34</v>
      </c>
      <c r="P682" s="2">
        <f>Tabela1[[#This Row],[orcamento_aprovado]]-Tabela1[[#This Row],[custo_real_acumulado]]</f>
        <v>-4741.5899999999965</v>
      </c>
      <c r="Q682">
        <f>IF(Tabela1[[#This Row],[data_fim_real]]="","",Tabela1[[#This Row],[data_fim_real]]-Tabela1[[#This Row],[data_inicio_real]])</f>
        <v>86</v>
      </c>
    </row>
    <row r="683" spans="1:17" ht="16.5" x14ac:dyDescent="0.5">
      <c r="A683" t="s">
        <v>1628</v>
      </c>
      <c r="B683" t="s">
        <v>1629</v>
      </c>
      <c r="C683" t="s">
        <v>633</v>
      </c>
      <c r="D683" t="s">
        <v>38</v>
      </c>
      <c r="E683" t="s">
        <v>19</v>
      </c>
      <c r="F683" s="1">
        <v>46212</v>
      </c>
      <c r="G683" s="1">
        <v>46327</v>
      </c>
      <c r="H683" s="1">
        <v>46212</v>
      </c>
      <c r="I683" s="1">
        <v>46278</v>
      </c>
      <c r="J683" s="2">
        <v>115686.22</v>
      </c>
      <c r="K683" s="2">
        <v>4671.21</v>
      </c>
      <c r="L683" s="2">
        <v>61001.09</v>
      </c>
      <c r="M683">
        <v>3294</v>
      </c>
      <c r="N683">
        <v>133</v>
      </c>
      <c r="O683" t="s">
        <v>21</v>
      </c>
      <c r="P683" s="2">
        <f>Tabela1[[#This Row],[orcamento_aprovado]]-Tabela1[[#This Row],[custo_real_acumulado]]</f>
        <v>111015.01</v>
      </c>
      <c r="Q683">
        <f>IF(Tabela1[[#This Row],[data_fim_real]]="","",Tabela1[[#This Row],[data_fim_real]]-Tabela1[[#This Row],[data_inicio_real]])</f>
        <v>66</v>
      </c>
    </row>
    <row r="684" spans="1:17" ht="16.5" x14ac:dyDescent="0.5">
      <c r="A684" t="s">
        <v>1630</v>
      </c>
      <c r="B684" t="s">
        <v>1631</v>
      </c>
      <c r="C684" t="s">
        <v>587</v>
      </c>
      <c r="D684" t="s">
        <v>50</v>
      </c>
      <c r="E684" t="s">
        <v>20</v>
      </c>
      <c r="F684" s="1">
        <v>46353</v>
      </c>
      <c r="G684" s="1">
        <v>46387</v>
      </c>
      <c r="H684" s="1">
        <v>46346</v>
      </c>
      <c r="I684" s="1"/>
      <c r="J684" s="2">
        <v>102522.65</v>
      </c>
      <c r="K684" s="2">
        <v>93351.77</v>
      </c>
      <c r="L684" s="2">
        <v>50277.27</v>
      </c>
      <c r="M684">
        <v>1059</v>
      </c>
      <c r="N684">
        <v>919</v>
      </c>
      <c r="O684" t="s">
        <v>26</v>
      </c>
      <c r="P684" s="2">
        <f>Tabela1[[#This Row],[orcamento_aprovado]]-Tabela1[[#This Row],[custo_real_acumulado]]</f>
        <v>9170.8799999999901</v>
      </c>
      <c r="Q684" t="str">
        <f>IF(Tabela1[[#This Row],[data_fim_real]]="","",Tabela1[[#This Row],[data_fim_real]]-Tabela1[[#This Row],[data_inicio_real]])</f>
        <v/>
      </c>
    </row>
    <row r="685" spans="1:17" ht="16.5" x14ac:dyDescent="0.5">
      <c r="A685" t="s">
        <v>1632</v>
      </c>
      <c r="B685" t="s">
        <v>1633</v>
      </c>
      <c r="C685" t="s">
        <v>463</v>
      </c>
      <c r="D685" t="s">
        <v>50</v>
      </c>
      <c r="E685" t="s">
        <v>43</v>
      </c>
      <c r="F685" s="1">
        <v>46055</v>
      </c>
      <c r="G685" s="1">
        <v>46131</v>
      </c>
      <c r="H685" s="1">
        <v>46040</v>
      </c>
      <c r="I685" s="1"/>
      <c r="J685" s="2">
        <v>56812.59</v>
      </c>
      <c r="K685" s="2">
        <v>57642.239999999998</v>
      </c>
      <c r="L685" s="2">
        <v>64961.89</v>
      </c>
      <c r="M685">
        <v>1566</v>
      </c>
      <c r="N685">
        <v>1428</v>
      </c>
      <c r="O685" t="s">
        <v>34</v>
      </c>
      <c r="P685" s="2">
        <f>Tabela1[[#This Row],[orcamento_aprovado]]-Tabela1[[#This Row],[custo_real_acumulado]]</f>
        <v>-829.65000000000146</v>
      </c>
      <c r="Q685" t="str">
        <f>IF(Tabela1[[#This Row],[data_fim_real]]="","",Tabela1[[#This Row],[data_fim_real]]-Tabela1[[#This Row],[data_inicio_real]])</f>
        <v/>
      </c>
    </row>
    <row r="686" spans="1:17" ht="16.5" x14ac:dyDescent="0.5">
      <c r="A686" t="s">
        <v>1634</v>
      </c>
      <c r="B686" t="s">
        <v>1635</v>
      </c>
      <c r="C686" t="s">
        <v>794</v>
      </c>
      <c r="D686" t="s">
        <v>78</v>
      </c>
      <c r="E686" t="s">
        <v>43</v>
      </c>
      <c r="F686" s="1">
        <v>46299</v>
      </c>
      <c r="G686" s="1">
        <v>46334</v>
      </c>
      <c r="H686" s="1">
        <v>46285</v>
      </c>
      <c r="I686" s="1">
        <v>46313</v>
      </c>
      <c r="J686" s="2">
        <v>85235.03</v>
      </c>
      <c r="K686" s="2">
        <v>93831.44</v>
      </c>
      <c r="L686" s="2">
        <v>80044.259999999995</v>
      </c>
      <c r="M686">
        <v>749</v>
      </c>
      <c r="N686">
        <v>664</v>
      </c>
      <c r="O686" t="s">
        <v>21</v>
      </c>
      <c r="P686" s="2">
        <f>Tabela1[[#This Row],[orcamento_aprovado]]-Tabela1[[#This Row],[custo_real_acumulado]]</f>
        <v>-8596.4100000000035</v>
      </c>
      <c r="Q686">
        <f>IF(Tabela1[[#This Row],[data_fim_real]]="","",Tabela1[[#This Row],[data_fim_real]]-Tabela1[[#This Row],[data_inicio_real]])</f>
        <v>28</v>
      </c>
    </row>
    <row r="687" spans="1:17" ht="16.5" x14ac:dyDescent="0.5">
      <c r="A687" t="s">
        <v>1636</v>
      </c>
      <c r="B687" t="s">
        <v>1637</v>
      </c>
      <c r="C687" t="s">
        <v>956</v>
      </c>
      <c r="D687" t="s">
        <v>38</v>
      </c>
      <c r="E687" t="s">
        <v>19</v>
      </c>
      <c r="F687" s="1">
        <v>46038</v>
      </c>
      <c r="G687" s="1">
        <v>46100</v>
      </c>
      <c r="H687" s="1">
        <v>46033</v>
      </c>
      <c r="I687" s="1"/>
      <c r="J687" s="2">
        <v>325572.06</v>
      </c>
      <c r="K687" s="2">
        <v>225560.02</v>
      </c>
      <c r="L687" s="2">
        <v>470937.84</v>
      </c>
      <c r="M687">
        <v>2692</v>
      </c>
      <c r="N687">
        <v>2248</v>
      </c>
      <c r="O687" t="s">
        <v>26</v>
      </c>
      <c r="P687" s="2">
        <f>Tabela1[[#This Row],[orcamento_aprovado]]-Tabela1[[#This Row],[custo_real_acumulado]]</f>
        <v>100012.04000000001</v>
      </c>
      <c r="Q687" t="str">
        <f>IF(Tabela1[[#This Row],[data_fim_real]]="","",Tabela1[[#This Row],[data_fim_real]]-Tabela1[[#This Row],[data_inicio_real]])</f>
        <v/>
      </c>
    </row>
    <row r="688" spans="1:17" ht="16.5" x14ac:dyDescent="0.5">
      <c r="A688" t="s">
        <v>1638</v>
      </c>
      <c r="B688" t="s">
        <v>1639</v>
      </c>
      <c r="C688" t="s">
        <v>931</v>
      </c>
      <c r="D688" t="s">
        <v>33</v>
      </c>
      <c r="E688" t="s">
        <v>20</v>
      </c>
      <c r="F688" s="1">
        <v>46069</v>
      </c>
      <c r="G688" s="1">
        <v>46125</v>
      </c>
      <c r="H688" s="1">
        <v>46066</v>
      </c>
      <c r="I688" s="1"/>
      <c r="J688" s="2">
        <v>118971.79</v>
      </c>
      <c r="K688" s="2">
        <v>33061.18</v>
      </c>
      <c r="L688" s="2">
        <v>125793.56</v>
      </c>
      <c r="M688">
        <v>2531</v>
      </c>
      <c r="N688">
        <v>759</v>
      </c>
      <c r="O688" t="s">
        <v>34</v>
      </c>
      <c r="P688" s="2">
        <f>Tabela1[[#This Row],[orcamento_aprovado]]-Tabela1[[#This Row],[custo_real_acumulado]]</f>
        <v>85910.609999999986</v>
      </c>
      <c r="Q688" t="str">
        <f>IF(Tabela1[[#This Row],[data_fim_real]]="","",Tabela1[[#This Row],[data_fim_real]]-Tabela1[[#This Row],[data_inicio_real]])</f>
        <v/>
      </c>
    </row>
    <row r="689" spans="1:17" ht="16.5" x14ac:dyDescent="0.5">
      <c r="A689" t="s">
        <v>1640</v>
      </c>
      <c r="B689" t="s">
        <v>1641</v>
      </c>
      <c r="C689" t="s">
        <v>619</v>
      </c>
      <c r="D689" t="s">
        <v>142</v>
      </c>
      <c r="E689" t="s">
        <v>19</v>
      </c>
      <c r="F689" s="1">
        <v>46025</v>
      </c>
      <c r="G689" s="1">
        <v>46039</v>
      </c>
      <c r="H689" s="1"/>
      <c r="I689" s="1"/>
      <c r="J689" s="2">
        <v>68490.62</v>
      </c>
      <c r="K689" s="2">
        <v>0</v>
      </c>
      <c r="L689" s="2">
        <v>26018.57</v>
      </c>
      <c r="M689">
        <v>259</v>
      </c>
      <c r="N689">
        <v>0</v>
      </c>
      <c r="O689" t="s">
        <v>21</v>
      </c>
      <c r="P689" s="2">
        <f>Tabela1[[#This Row],[orcamento_aprovado]]-Tabela1[[#This Row],[custo_real_acumulado]]</f>
        <v>68490.62</v>
      </c>
      <c r="Q689" t="str">
        <f>IF(Tabela1[[#This Row],[data_fim_real]]="","",Tabela1[[#This Row],[data_fim_real]]-Tabela1[[#This Row],[data_inicio_real]])</f>
        <v/>
      </c>
    </row>
    <row r="690" spans="1:17" ht="16.5" x14ac:dyDescent="0.5">
      <c r="A690" t="s">
        <v>1642</v>
      </c>
      <c r="B690" t="s">
        <v>1643</v>
      </c>
      <c r="C690" t="s">
        <v>218</v>
      </c>
      <c r="D690" t="s">
        <v>58</v>
      </c>
      <c r="E690" t="s">
        <v>20</v>
      </c>
      <c r="F690" s="1">
        <v>46113</v>
      </c>
      <c r="G690" s="1">
        <v>46175</v>
      </c>
      <c r="H690" s="1">
        <v>46120</v>
      </c>
      <c r="I690" s="1"/>
      <c r="J690" s="2">
        <v>108591.96</v>
      </c>
      <c r="K690" s="2">
        <v>93871.59</v>
      </c>
      <c r="L690" s="2">
        <v>205547.41</v>
      </c>
      <c r="M690">
        <v>1859</v>
      </c>
      <c r="N690">
        <v>1510</v>
      </c>
      <c r="O690" t="s">
        <v>26</v>
      </c>
      <c r="P690" s="2">
        <f>Tabela1[[#This Row],[orcamento_aprovado]]-Tabela1[[#This Row],[custo_real_acumulado]]</f>
        <v>14720.37000000001</v>
      </c>
      <c r="Q690" t="str">
        <f>IF(Tabela1[[#This Row],[data_fim_real]]="","",Tabela1[[#This Row],[data_fim_real]]-Tabela1[[#This Row],[data_inicio_real]])</f>
        <v/>
      </c>
    </row>
    <row r="691" spans="1:17" ht="16.5" x14ac:dyDescent="0.5">
      <c r="A691" t="s">
        <v>1644</v>
      </c>
      <c r="B691" t="s">
        <v>1645</v>
      </c>
      <c r="C691" t="s">
        <v>224</v>
      </c>
      <c r="D691" t="s">
        <v>33</v>
      </c>
      <c r="E691" t="s">
        <v>43</v>
      </c>
      <c r="F691" s="1">
        <v>46102</v>
      </c>
      <c r="G691" s="1">
        <v>46208</v>
      </c>
      <c r="H691" s="1"/>
      <c r="I691" s="1"/>
      <c r="J691" s="2">
        <v>92361.23</v>
      </c>
      <c r="K691" s="2">
        <v>0</v>
      </c>
      <c r="L691" s="2">
        <v>102096.98</v>
      </c>
      <c r="M691">
        <v>4446</v>
      </c>
      <c r="N691">
        <v>0</v>
      </c>
      <c r="O691" t="s">
        <v>34</v>
      </c>
      <c r="P691" s="2">
        <f>Tabela1[[#This Row],[orcamento_aprovado]]-Tabela1[[#This Row],[custo_real_acumulado]]</f>
        <v>92361.23</v>
      </c>
      <c r="Q691" t="str">
        <f>IF(Tabela1[[#This Row],[data_fim_real]]="","",Tabela1[[#This Row],[data_fim_real]]-Tabela1[[#This Row],[data_inicio_real]])</f>
        <v/>
      </c>
    </row>
    <row r="692" spans="1:17" ht="16.5" x14ac:dyDescent="0.5">
      <c r="A692" t="s">
        <v>1646</v>
      </c>
      <c r="B692" t="s">
        <v>1647</v>
      </c>
      <c r="C692" t="s">
        <v>902</v>
      </c>
      <c r="D692" t="s">
        <v>58</v>
      </c>
      <c r="E692" t="s">
        <v>20</v>
      </c>
      <c r="F692" s="1">
        <v>46325</v>
      </c>
      <c r="G692" s="1">
        <v>46387</v>
      </c>
      <c r="H692" s="1">
        <v>46330</v>
      </c>
      <c r="I692" s="1"/>
      <c r="J692" s="2">
        <v>50000</v>
      </c>
      <c r="K692" s="2">
        <v>36536.18</v>
      </c>
      <c r="L692" s="2">
        <v>91794.65</v>
      </c>
      <c r="M692">
        <v>1651</v>
      </c>
      <c r="N692">
        <v>984</v>
      </c>
      <c r="O692" t="s">
        <v>21</v>
      </c>
      <c r="P692" s="2">
        <f>Tabela1[[#This Row],[orcamento_aprovado]]-Tabela1[[#This Row],[custo_real_acumulado]]</f>
        <v>13463.82</v>
      </c>
      <c r="Q692" t="str">
        <f>IF(Tabela1[[#This Row],[data_fim_real]]="","",Tabela1[[#This Row],[data_fim_real]]-Tabela1[[#This Row],[data_inicio_real]])</f>
        <v/>
      </c>
    </row>
    <row r="693" spans="1:17" ht="16.5" x14ac:dyDescent="0.5">
      <c r="A693" t="s">
        <v>1648</v>
      </c>
      <c r="B693" t="s">
        <v>1649</v>
      </c>
      <c r="C693" t="s">
        <v>381</v>
      </c>
      <c r="D693" t="s">
        <v>33</v>
      </c>
      <c r="E693" t="s">
        <v>43</v>
      </c>
      <c r="F693" s="1">
        <v>46245</v>
      </c>
      <c r="G693" s="1">
        <v>46306</v>
      </c>
      <c r="H693" s="1">
        <v>46245</v>
      </c>
      <c r="I693" s="1">
        <v>46303</v>
      </c>
      <c r="J693" s="2">
        <v>65330.559999999998</v>
      </c>
      <c r="K693" s="2">
        <v>72442.69</v>
      </c>
      <c r="L693" s="2">
        <v>133477.46</v>
      </c>
      <c r="M693">
        <v>2740</v>
      </c>
      <c r="N693">
        <v>2646</v>
      </c>
      <c r="O693" t="s">
        <v>26</v>
      </c>
      <c r="P693" s="2">
        <f>Tabela1[[#This Row],[orcamento_aprovado]]-Tabela1[[#This Row],[custo_real_acumulado]]</f>
        <v>-7112.1300000000047</v>
      </c>
      <c r="Q693">
        <f>IF(Tabela1[[#This Row],[data_fim_real]]="","",Tabela1[[#This Row],[data_fim_real]]-Tabela1[[#This Row],[data_inicio_real]])</f>
        <v>58</v>
      </c>
    </row>
    <row r="694" spans="1:17" ht="16.5" x14ac:dyDescent="0.5">
      <c r="A694" t="s">
        <v>1650</v>
      </c>
      <c r="B694" t="s">
        <v>1651</v>
      </c>
      <c r="C694" t="s">
        <v>337</v>
      </c>
      <c r="D694" t="s">
        <v>50</v>
      </c>
      <c r="E694" t="s">
        <v>20</v>
      </c>
      <c r="F694" s="1">
        <v>46300</v>
      </c>
      <c r="G694" s="1">
        <v>46387</v>
      </c>
      <c r="H694" s="1">
        <v>46300</v>
      </c>
      <c r="I694" s="1">
        <v>46387</v>
      </c>
      <c r="J694" s="2">
        <v>78281.48</v>
      </c>
      <c r="K694" s="2">
        <v>75755.23</v>
      </c>
      <c r="L694" s="2">
        <v>153299.64000000001</v>
      </c>
      <c r="M694">
        <v>1743</v>
      </c>
      <c r="N694">
        <v>2057</v>
      </c>
      <c r="O694" t="s">
        <v>34</v>
      </c>
      <c r="P694" s="2">
        <f>Tabela1[[#This Row],[orcamento_aprovado]]-Tabela1[[#This Row],[custo_real_acumulado]]</f>
        <v>2526.25</v>
      </c>
      <c r="Q694">
        <f>IF(Tabela1[[#This Row],[data_fim_real]]="","",Tabela1[[#This Row],[data_fim_real]]-Tabela1[[#This Row],[data_inicio_real]])</f>
        <v>87</v>
      </c>
    </row>
    <row r="695" spans="1:17" ht="16.5" x14ac:dyDescent="0.5">
      <c r="A695" t="s">
        <v>1652</v>
      </c>
      <c r="B695" t="s">
        <v>1653</v>
      </c>
      <c r="C695" t="s">
        <v>987</v>
      </c>
      <c r="D695" t="s">
        <v>50</v>
      </c>
      <c r="E695" t="s">
        <v>43</v>
      </c>
      <c r="F695" s="1">
        <v>46257</v>
      </c>
      <c r="G695" s="1">
        <v>46386</v>
      </c>
      <c r="H695" s="1"/>
      <c r="I695" s="1"/>
      <c r="J695" s="2">
        <v>67196.66</v>
      </c>
      <c r="K695" s="2">
        <v>0</v>
      </c>
      <c r="L695" s="2">
        <v>65028.84</v>
      </c>
      <c r="M695">
        <v>2415</v>
      </c>
      <c r="N695">
        <v>0</v>
      </c>
      <c r="O695" t="s">
        <v>21</v>
      </c>
      <c r="P695" s="2">
        <f>Tabela1[[#This Row],[orcamento_aprovado]]-Tabela1[[#This Row],[custo_real_acumulado]]</f>
        <v>67196.66</v>
      </c>
      <c r="Q695" t="str">
        <f>IF(Tabela1[[#This Row],[data_fim_real]]="","",Tabela1[[#This Row],[data_fim_real]]-Tabela1[[#This Row],[data_inicio_real]])</f>
        <v/>
      </c>
    </row>
    <row r="696" spans="1:17" ht="16.5" x14ac:dyDescent="0.5">
      <c r="A696" t="s">
        <v>1654</v>
      </c>
      <c r="B696" t="s">
        <v>1655</v>
      </c>
      <c r="C696" t="s">
        <v>124</v>
      </c>
      <c r="D696" t="s">
        <v>18</v>
      </c>
      <c r="E696" t="s">
        <v>20</v>
      </c>
      <c r="F696" s="1">
        <v>46222</v>
      </c>
      <c r="G696" s="1">
        <v>46308</v>
      </c>
      <c r="H696" s="1">
        <v>46219</v>
      </c>
      <c r="I696" s="1">
        <v>46333</v>
      </c>
      <c r="J696" s="2">
        <v>112216.38</v>
      </c>
      <c r="K696" s="2">
        <v>107685.27</v>
      </c>
      <c r="L696" s="2">
        <v>47564.74</v>
      </c>
      <c r="M696">
        <v>1819</v>
      </c>
      <c r="N696">
        <v>2118</v>
      </c>
      <c r="O696" t="s">
        <v>26</v>
      </c>
      <c r="P696" s="2">
        <f>Tabela1[[#This Row],[orcamento_aprovado]]-Tabela1[[#This Row],[custo_real_acumulado]]</f>
        <v>4531.1100000000006</v>
      </c>
      <c r="Q696">
        <f>IF(Tabela1[[#This Row],[data_fim_real]]="","",Tabela1[[#This Row],[data_fim_real]]-Tabela1[[#This Row],[data_inicio_real]])</f>
        <v>114</v>
      </c>
    </row>
    <row r="697" spans="1:17" ht="16.5" x14ac:dyDescent="0.5">
      <c r="A697" t="s">
        <v>1656</v>
      </c>
      <c r="B697" t="s">
        <v>1657</v>
      </c>
      <c r="C697" t="s">
        <v>1658</v>
      </c>
      <c r="D697" t="s">
        <v>58</v>
      </c>
      <c r="E697" t="s">
        <v>43</v>
      </c>
      <c r="F697" s="1">
        <v>46120</v>
      </c>
      <c r="G697" s="1">
        <v>46134</v>
      </c>
      <c r="H697" s="1">
        <v>46129</v>
      </c>
      <c r="I697" s="1">
        <v>46156</v>
      </c>
      <c r="J697" s="2">
        <v>50000</v>
      </c>
      <c r="K697" s="2">
        <v>54774.239999999998</v>
      </c>
      <c r="L697" s="2">
        <v>74244.460000000006</v>
      </c>
      <c r="M697">
        <v>299</v>
      </c>
      <c r="N697">
        <v>287</v>
      </c>
      <c r="O697" t="s">
        <v>34</v>
      </c>
      <c r="P697" s="2">
        <f>Tabela1[[#This Row],[orcamento_aprovado]]-Tabela1[[#This Row],[custo_real_acumulado]]</f>
        <v>-4774.239999999998</v>
      </c>
      <c r="Q697">
        <f>IF(Tabela1[[#This Row],[data_fim_real]]="","",Tabela1[[#This Row],[data_fim_real]]-Tabela1[[#This Row],[data_inicio_real]])</f>
        <v>27</v>
      </c>
    </row>
    <row r="698" spans="1:17" ht="16.5" x14ac:dyDescent="0.5">
      <c r="A698" t="s">
        <v>1659</v>
      </c>
      <c r="B698" t="s">
        <v>1660</v>
      </c>
      <c r="C698" t="s">
        <v>587</v>
      </c>
      <c r="D698" t="s">
        <v>18</v>
      </c>
      <c r="E698" t="s">
        <v>20</v>
      </c>
      <c r="F698" s="1">
        <v>46108</v>
      </c>
      <c r="G698" s="1">
        <v>46173</v>
      </c>
      <c r="H698" s="1"/>
      <c r="I698" s="1"/>
      <c r="J698" s="2">
        <v>229128.41</v>
      </c>
      <c r="K698" s="2">
        <v>0</v>
      </c>
      <c r="L698" s="2">
        <v>144922.34</v>
      </c>
      <c r="M698">
        <v>2086</v>
      </c>
      <c r="N698">
        <v>0</v>
      </c>
      <c r="O698" t="s">
        <v>21</v>
      </c>
      <c r="P698" s="2">
        <f>Tabela1[[#This Row],[orcamento_aprovado]]-Tabela1[[#This Row],[custo_real_acumulado]]</f>
        <v>229128.41</v>
      </c>
      <c r="Q698" t="str">
        <f>IF(Tabela1[[#This Row],[data_fim_real]]="","",Tabela1[[#This Row],[data_fim_real]]-Tabela1[[#This Row],[data_inicio_real]])</f>
        <v/>
      </c>
    </row>
    <row r="699" spans="1:17" ht="16.5" x14ac:dyDescent="0.5">
      <c r="A699" t="s">
        <v>1661</v>
      </c>
      <c r="B699" t="s">
        <v>1662</v>
      </c>
      <c r="C699" t="s">
        <v>654</v>
      </c>
      <c r="D699" t="s">
        <v>50</v>
      </c>
      <c r="E699" t="s">
        <v>20</v>
      </c>
      <c r="F699" s="1">
        <v>46080</v>
      </c>
      <c r="G699" s="1">
        <v>46177</v>
      </c>
      <c r="H699" s="1"/>
      <c r="I699" s="1"/>
      <c r="J699" s="2">
        <v>259167.17</v>
      </c>
      <c r="K699" s="2">
        <v>0</v>
      </c>
      <c r="L699" s="2">
        <v>88171.59</v>
      </c>
      <c r="M699">
        <v>2110</v>
      </c>
      <c r="N699">
        <v>0</v>
      </c>
      <c r="O699" t="s">
        <v>26</v>
      </c>
      <c r="P699" s="2">
        <f>Tabela1[[#This Row],[orcamento_aprovado]]-Tabela1[[#This Row],[custo_real_acumulado]]</f>
        <v>259167.17</v>
      </c>
      <c r="Q699" t="str">
        <f>IF(Tabela1[[#This Row],[data_fim_real]]="","",Tabela1[[#This Row],[data_fim_real]]-Tabela1[[#This Row],[data_inicio_real]])</f>
        <v/>
      </c>
    </row>
    <row r="700" spans="1:17" ht="16.5" x14ac:dyDescent="0.5">
      <c r="A700" t="s">
        <v>1663</v>
      </c>
      <c r="B700" t="s">
        <v>1664</v>
      </c>
      <c r="C700" t="s">
        <v>86</v>
      </c>
      <c r="D700" t="s">
        <v>25</v>
      </c>
      <c r="E700" t="s">
        <v>19</v>
      </c>
      <c r="F700" s="1">
        <v>46185</v>
      </c>
      <c r="G700" s="1">
        <v>46223</v>
      </c>
      <c r="H700" s="1">
        <v>46174</v>
      </c>
      <c r="I700" s="1">
        <v>46180</v>
      </c>
      <c r="J700" s="2">
        <v>59776.09</v>
      </c>
      <c r="K700" s="2">
        <v>20732.38</v>
      </c>
      <c r="L700" s="2">
        <v>48731.73</v>
      </c>
      <c r="M700">
        <v>1864</v>
      </c>
      <c r="N700">
        <v>561</v>
      </c>
      <c r="O700" t="s">
        <v>34</v>
      </c>
      <c r="P700" s="2">
        <f>Tabela1[[#This Row],[orcamento_aprovado]]-Tabela1[[#This Row],[custo_real_acumulado]]</f>
        <v>39043.709999999992</v>
      </c>
      <c r="Q700">
        <f>IF(Tabela1[[#This Row],[data_fim_real]]="","",Tabela1[[#This Row],[data_fim_real]]-Tabela1[[#This Row],[data_inicio_real]])</f>
        <v>6</v>
      </c>
    </row>
    <row r="701" spans="1:17" ht="16.5" x14ac:dyDescent="0.5">
      <c r="A701" t="s">
        <v>1665</v>
      </c>
      <c r="B701" t="s">
        <v>1666</v>
      </c>
      <c r="C701" t="s">
        <v>495</v>
      </c>
      <c r="D701" t="s">
        <v>50</v>
      </c>
      <c r="E701" t="s">
        <v>20</v>
      </c>
      <c r="F701" s="1">
        <v>46035</v>
      </c>
      <c r="G701" s="1">
        <v>46161</v>
      </c>
      <c r="H701" s="1">
        <v>46041</v>
      </c>
      <c r="I701" s="1"/>
      <c r="J701" s="2">
        <v>120213.6</v>
      </c>
      <c r="K701" s="2">
        <v>60324.480000000003</v>
      </c>
      <c r="L701" s="2">
        <v>247836.23</v>
      </c>
      <c r="M701">
        <v>3333</v>
      </c>
      <c r="N701">
        <v>2005</v>
      </c>
      <c r="O701" t="s">
        <v>21</v>
      </c>
      <c r="P701" s="2">
        <f>Tabela1[[#This Row],[orcamento_aprovado]]-Tabela1[[#This Row],[custo_real_acumulado]]</f>
        <v>59889.120000000003</v>
      </c>
      <c r="Q701" t="str">
        <f>IF(Tabela1[[#This Row],[data_fim_real]]="","",Tabela1[[#This Row],[data_fim_real]]-Tabela1[[#This Row],[data_inicio_real]])</f>
        <v/>
      </c>
    </row>
    <row r="702" spans="1:17" ht="16.5" x14ac:dyDescent="0.5">
      <c r="A702" t="s">
        <v>1667</v>
      </c>
      <c r="B702" t="s">
        <v>1668</v>
      </c>
      <c r="C702" t="s">
        <v>132</v>
      </c>
      <c r="D702" t="s">
        <v>50</v>
      </c>
      <c r="E702" t="s">
        <v>43</v>
      </c>
      <c r="F702" s="1">
        <v>46096</v>
      </c>
      <c r="G702" s="1">
        <v>46208</v>
      </c>
      <c r="H702" s="1">
        <v>46101</v>
      </c>
      <c r="I702" s="1">
        <v>46227</v>
      </c>
      <c r="J702" s="2">
        <v>55835.69</v>
      </c>
      <c r="K702" s="2">
        <v>56591.56</v>
      </c>
      <c r="L702" s="2">
        <v>38620.300000000003</v>
      </c>
      <c r="M702">
        <v>3423</v>
      </c>
      <c r="N702">
        <v>3414</v>
      </c>
      <c r="O702" t="s">
        <v>26</v>
      </c>
      <c r="P702" s="2">
        <f>Tabela1[[#This Row],[orcamento_aprovado]]-Tabela1[[#This Row],[custo_real_acumulado]]</f>
        <v>-755.86999999999534</v>
      </c>
      <c r="Q702">
        <f>IF(Tabela1[[#This Row],[data_fim_real]]="","",Tabela1[[#This Row],[data_fim_real]]-Tabela1[[#This Row],[data_inicio_real]])</f>
        <v>126</v>
      </c>
    </row>
    <row r="703" spans="1:17" ht="16.5" x14ac:dyDescent="0.5">
      <c r="A703" t="s">
        <v>1669</v>
      </c>
      <c r="B703" t="s">
        <v>1670</v>
      </c>
      <c r="C703" t="s">
        <v>654</v>
      </c>
      <c r="D703" t="s">
        <v>50</v>
      </c>
      <c r="E703" t="s">
        <v>20</v>
      </c>
      <c r="F703" s="1">
        <v>46220</v>
      </c>
      <c r="G703" s="1">
        <v>46356</v>
      </c>
      <c r="H703" s="1">
        <v>46241</v>
      </c>
      <c r="I703" s="1"/>
      <c r="J703" s="2">
        <v>73239.31</v>
      </c>
      <c r="K703" s="2">
        <v>18498.18</v>
      </c>
      <c r="L703" s="2">
        <v>36426.32</v>
      </c>
      <c r="M703">
        <v>1887</v>
      </c>
      <c r="N703">
        <v>436</v>
      </c>
      <c r="O703" t="s">
        <v>34</v>
      </c>
      <c r="P703" s="2">
        <f>Tabela1[[#This Row],[orcamento_aprovado]]-Tabela1[[#This Row],[custo_real_acumulado]]</f>
        <v>54741.13</v>
      </c>
      <c r="Q703" t="str">
        <f>IF(Tabela1[[#This Row],[data_fim_real]]="","",Tabela1[[#This Row],[data_fim_real]]-Tabela1[[#This Row],[data_inicio_real]])</f>
        <v/>
      </c>
    </row>
    <row r="704" spans="1:17" ht="16.5" x14ac:dyDescent="0.5">
      <c r="A704" t="s">
        <v>1671</v>
      </c>
      <c r="B704" t="s">
        <v>1672</v>
      </c>
      <c r="C704" t="s">
        <v>1328</v>
      </c>
      <c r="D704" t="s">
        <v>50</v>
      </c>
      <c r="E704" t="s">
        <v>20</v>
      </c>
      <c r="F704" s="1">
        <v>46105</v>
      </c>
      <c r="G704" s="1">
        <v>46227</v>
      </c>
      <c r="H704" s="1">
        <v>46117</v>
      </c>
      <c r="I704" s="1"/>
      <c r="J704" s="2">
        <v>50000</v>
      </c>
      <c r="K704" s="2">
        <v>9746.43</v>
      </c>
      <c r="L704" s="2">
        <v>92334.93</v>
      </c>
      <c r="M704">
        <v>1203</v>
      </c>
      <c r="N704">
        <v>328</v>
      </c>
      <c r="O704" t="s">
        <v>21</v>
      </c>
      <c r="P704" s="2">
        <f>Tabela1[[#This Row],[orcamento_aprovado]]-Tabela1[[#This Row],[custo_real_acumulado]]</f>
        <v>40253.57</v>
      </c>
      <c r="Q704" t="str">
        <f>IF(Tabela1[[#This Row],[data_fim_real]]="","",Tabela1[[#This Row],[data_fim_real]]-Tabela1[[#This Row],[data_inicio_real]])</f>
        <v/>
      </c>
    </row>
    <row r="705" spans="1:17" ht="16.5" x14ac:dyDescent="0.5">
      <c r="A705" t="s">
        <v>1673</v>
      </c>
      <c r="B705" t="s">
        <v>1674</v>
      </c>
      <c r="C705" t="s">
        <v>928</v>
      </c>
      <c r="D705" t="s">
        <v>38</v>
      </c>
      <c r="E705" t="s">
        <v>19</v>
      </c>
      <c r="F705" s="1">
        <v>46209</v>
      </c>
      <c r="G705" s="1">
        <v>46284</v>
      </c>
      <c r="H705" s="1">
        <v>46220</v>
      </c>
      <c r="I705" s="1"/>
      <c r="J705" s="2">
        <v>129210.72</v>
      </c>
      <c r="K705" s="2">
        <v>52837.35</v>
      </c>
      <c r="L705" s="2">
        <v>144749.87</v>
      </c>
      <c r="M705">
        <v>2048</v>
      </c>
      <c r="N705">
        <v>718</v>
      </c>
      <c r="O705" t="s">
        <v>26</v>
      </c>
      <c r="P705" s="2">
        <f>Tabela1[[#This Row],[orcamento_aprovado]]-Tabela1[[#This Row],[custo_real_acumulado]]</f>
        <v>76373.37</v>
      </c>
      <c r="Q705" t="str">
        <f>IF(Tabela1[[#This Row],[data_fim_real]]="","",Tabela1[[#This Row],[data_fim_real]]-Tabela1[[#This Row],[data_inicio_real]])</f>
        <v/>
      </c>
    </row>
    <row r="706" spans="1:17" ht="16.5" x14ac:dyDescent="0.5">
      <c r="A706" t="s">
        <v>1675</v>
      </c>
      <c r="B706" t="s">
        <v>1676</v>
      </c>
      <c r="C706" t="s">
        <v>17</v>
      </c>
      <c r="D706" t="s">
        <v>71</v>
      </c>
      <c r="E706" t="s">
        <v>43</v>
      </c>
      <c r="F706" s="1">
        <v>46300</v>
      </c>
      <c r="G706" s="1">
        <v>46379</v>
      </c>
      <c r="H706" s="1">
        <v>46293</v>
      </c>
      <c r="I706" s="1"/>
      <c r="J706" s="2">
        <v>194360.89</v>
      </c>
      <c r="K706" s="2">
        <v>122346.55</v>
      </c>
      <c r="L706" s="2">
        <v>322294.34999999998</v>
      </c>
      <c r="M706">
        <v>1566</v>
      </c>
      <c r="N706">
        <v>817</v>
      </c>
      <c r="O706" t="s">
        <v>34</v>
      </c>
      <c r="P706" s="2">
        <f>Tabela1[[#This Row],[orcamento_aprovado]]-Tabela1[[#This Row],[custo_real_acumulado]]</f>
        <v>72014.340000000011</v>
      </c>
      <c r="Q706" t="str">
        <f>IF(Tabela1[[#This Row],[data_fim_real]]="","",Tabela1[[#This Row],[data_fim_real]]-Tabela1[[#This Row],[data_inicio_real]])</f>
        <v/>
      </c>
    </row>
    <row r="707" spans="1:17" ht="16.5" x14ac:dyDescent="0.5">
      <c r="A707" t="s">
        <v>1677</v>
      </c>
      <c r="B707" t="s">
        <v>1678</v>
      </c>
      <c r="C707" t="s">
        <v>53</v>
      </c>
      <c r="D707" t="s">
        <v>142</v>
      </c>
      <c r="E707" t="s">
        <v>43</v>
      </c>
      <c r="F707" s="1">
        <v>46311</v>
      </c>
      <c r="G707" s="1">
        <v>46387</v>
      </c>
      <c r="H707" s="1">
        <v>46313</v>
      </c>
      <c r="I707" s="1"/>
      <c r="J707" s="2">
        <v>50000</v>
      </c>
      <c r="K707" s="2">
        <v>23027.34</v>
      </c>
      <c r="L707" s="2">
        <v>31827.87</v>
      </c>
      <c r="M707">
        <v>1469</v>
      </c>
      <c r="N707">
        <v>754</v>
      </c>
      <c r="O707" t="s">
        <v>21</v>
      </c>
      <c r="P707" s="2">
        <f>Tabela1[[#This Row],[orcamento_aprovado]]-Tabela1[[#This Row],[custo_real_acumulado]]</f>
        <v>26972.66</v>
      </c>
      <c r="Q707" t="str">
        <f>IF(Tabela1[[#This Row],[data_fim_real]]="","",Tabela1[[#This Row],[data_fim_real]]-Tabela1[[#This Row],[data_inicio_real]])</f>
        <v/>
      </c>
    </row>
    <row r="708" spans="1:17" ht="16.5" x14ac:dyDescent="0.5">
      <c r="A708" t="s">
        <v>1679</v>
      </c>
      <c r="B708" t="s">
        <v>1680</v>
      </c>
      <c r="C708" t="s">
        <v>1681</v>
      </c>
      <c r="D708" t="s">
        <v>142</v>
      </c>
      <c r="E708" t="s">
        <v>19</v>
      </c>
      <c r="F708" s="1">
        <v>46069</v>
      </c>
      <c r="G708" s="1">
        <v>46093</v>
      </c>
      <c r="H708" s="1"/>
      <c r="I708" s="1"/>
      <c r="J708" s="2">
        <v>131864.67000000001</v>
      </c>
      <c r="K708" s="2">
        <v>0</v>
      </c>
      <c r="L708" s="2">
        <v>117115.74</v>
      </c>
      <c r="M708">
        <v>728</v>
      </c>
      <c r="N708">
        <v>0</v>
      </c>
      <c r="O708" t="s">
        <v>26</v>
      </c>
      <c r="P708" s="2">
        <f>Tabela1[[#This Row],[orcamento_aprovado]]-Tabela1[[#This Row],[custo_real_acumulado]]</f>
        <v>131864.67000000001</v>
      </c>
      <c r="Q708" t="str">
        <f>IF(Tabela1[[#This Row],[data_fim_real]]="","",Tabela1[[#This Row],[data_fim_real]]-Tabela1[[#This Row],[data_inicio_real]])</f>
        <v/>
      </c>
    </row>
    <row r="709" spans="1:17" ht="16.5" x14ac:dyDescent="0.5">
      <c r="A709" t="s">
        <v>1682</v>
      </c>
      <c r="B709" t="s">
        <v>1683</v>
      </c>
      <c r="C709" t="s">
        <v>667</v>
      </c>
      <c r="D709" t="s">
        <v>33</v>
      </c>
      <c r="E709" t="s">
        <v>43</v>
      </c>
      <c r="F709" s="1">
        <v>46235</v>
      </c>
      <c r="G709" s="1">
        <v>46327</v>
      </c>
      <c r="H709" s="1">
        <v>46236</v>
      </c>
      <c r="I709" s="1"/>
      <c r="J709" s="2">
        <v>83300.06</v>
      </c>
      <c r="K709" s="2">
        <v>81074.320000000007</v>
      </c>
      <c r="L709" s="2">
        <v>109379.75</v>
      </c>
      <c r="M709">
        <v>3321</v>
      </c>
      <c r="N709">
        <v>3328</v>
      </c>
      <c r="O709" t="s">
        <v>34</v>
      </c>
      <c r="P709" s="2">
        <f>Tabela1[[#This Row],[orcamento_aprovado]]-Tabela1[[#This Row],[custo_real_acumulado]]</f>
        <v>2225.7399999999907</v>
      </c>
      <c r="Q709" t="str">
        <f>IF(Tabela1[[#This Row],[data_fim_real]]="","",Tabela1[[#This Row],[data_fim_real]]-Tabela1[[#This Row],[data_inicio_real]])</f>
        <v/>
      </c>
    </row>
    <row r="710" spans="1:17" ht="16.5" x14ac:dyDescent="0.5">
      <c r="A710" t="s">
        <v>1684</v>
      </c>
      <c r="B710" t="s">
        <v>1685</v>
      </c>
      <c r="C710" t="s">
        <v>191</v>
      </c>
      <c r="D710" t="s">
        <v>18</v>
      </c>
      <c r="E710" t="s">
        <v>20</v>
      </c>
      <c r="F710" s="1">
        <v>46323</v>
      </c>
      <c r="G710" s="1">
        <v>46377</v>
      </c>
      <c r="H710" s="1">
        <v>46335</v>
      </c>
      <c r="I710" s="1"/>
      <c r="J710" s="2">
        <v>339944.95</v>
      </c>
      <c r="K710" s="2">
        <v>195373.4</v>
      </c>
      <c r="L710" s="2">
        <v>332436.55</v>
      </c>
      <c r="M710">
        <v>1185</v>
      </c>
      <c r="N710">
        <v>613</v>
      </c>
      <c r="O710" t="s">
        <v>21</v>
      </c>
      <c r="P710" s="2">
        <f>Tabela1[[#This Row],[orcamento_aprovado]]-Tabela1[[#This Row],[custo_real_acumulado]]</f>
        <v>144571.55000000002</v>
      </c>
      <c r="Q710" t="str">
        <f>IF(Tabela1[[#This Row],[data_fim_real]]="","",Tabela1[[#This Row],[data_fim_real]]-Tabela1[[#This Row],[data_inicio_real]])</f>
        <v/>
      </c>
    </row>
    <row r="711" spans="1:17" ht="16.5" x14ac:dyDescent="0.5">
      <c r="A711" t="s">
        <v>1686</v>
      </c>
      <c r="B711" t="s">
        <v>1687</v>
      </c>
      <c r="C711" t="s">
        <v>37</v>
      </c>
      <c r="D711" t="s">
        <v>54</v>
      </c>
      <c r="E711" t="s">
        <v>43</v>
      </c>
      <c r="F711" s="1">
        <v>46123</v>
      </c>
      <c r="G711" s="1">
        <v>46247</v>
      </c>
      <c r="H711" s="1">
        <v>46140</v>
      </c>
      <c r="I711" s="1">
        <v>46270</v>
      </c>
      <c r="J711" s="2">
        <v>110354.78</v>
      </c>
      <c r="K711" s="2">
        <v>108452.54</v>
      </c>
      <c r="L711" s="2">
        <v>164032.16</v>
      </c>
      <c r="M711">
        <v>1860</v>
      </c>
      <c r="N711">
        <v>2022</v>
      </c>
      <c r="O711" t="s">
        <v>26</v>
      </c>
      <c r="P711" s="2">
        <f>Tabela1[[#This Row],[orcamento_aprovado]]-Tabela1[[#This Row],[custo_real_acumulado]]</f>
        <v>1902.2400000000052</v>
      </c>
      <c r="Q711">
        <f>IF(Tabela1[[#This Row],[data_fim_real]]="","",Tabela1[[#This Row],[data_fim_real]]-Tabela1[[#This Row],[data_inicio_real]])</f>
        <v>130</v>
      </c>
    </row>
    <row r="712" spans="1:17" ht="16.5" x14ac:dyDescent="0.5">
      <c r="A712" t="s">
        <v>1688</v>
      </c>
      <c r="B712" t="s">
        <v>1689</v>
      </c>
      <c r="C712" t="s">
        <v>92</v>
      </c>
      <c r="D712" t="s">
        <v>54</v>
      </c>
      <c r="E712" t="s">
        <v>19</v>
      </c>
      <c r="F712" s="1">
        <v>46273</v>
      </c>
      <c r="G712" s="1">
        <v>46337</v>
      </c>
      <c r="H712" s="1">
        <v>46272</v>
      </c>
      <c r="I712" s="1"/>
      <c r="J712" s="2">
        <v>50000</v>
      </c>
      <c r="K712" s="2">
        <v>34312.22</v>
      </c>
      <c r="L712" s="2">
        <v>20285.669999999998</v>
      </c>
      <c r="M712">
        <v>1992</v>
      </c>
      <c r="N712">
        <v>1458</v>
      </c>
      <c r="O712" t="s">
        <v>34</v>
      </c>
      <c r="P712" s="2">
        <f>Tabela1[[#This Row],[orcamento_aprovado]]-Tabela1[[#This Row],[custo_real_acumulado]]</f>
        <v>15687.779999999999</v>
      </c>
      <c r="Q712" t="str">
        <f>IF(Tabela1[[#This Row],[data_fim_real]]="","",Tabela1[[#This Row],[data_fim_real]]-Tabela1[[#This Row],[data_inicio_real]])</f>
        <v/>
      </c>
    </row>
    <row r="713" spans="1:17" ht="16.5" x14ac:dyDescent="0.5">
      <c r="A713" t="s">
        <v>1690</v>
      </c>
      <c r="B713" t="s">
        <v>1691</v>
      </c>
      <c r="C713" t="s">
        <v>89</v>
      </c>
      <c r="D713" t="s">
        <v>33</v>
      </c>
      <c r="E713" t="s">
        <v>20</v>
      </c>
      <c r="F713" s="1">
        <v>46032</v>
      </c>
      <c r="G713" s="1">
        <v>46166</v>
      </c>
      <c r="H713" s="1">
        <v>46029</v>
      </c>
      <c r="I713" s="1"/>
      <c r="J713" s="2">
        <v>174058.92</v>
      </c>
      <c r="K713" s="2">
        <v>135916.20000000001</v>
      </c>
      <c r="L713" s="2">
        <v>55864.800000000003</v>
      </c>
      <c r="M713">
        <v>3423</v>
      </c>
      <c r="N713">
        <v>2155</v>
      </c>
      <c r="O713" t="s">
        <v>21</v>
      </c>
      <c r="P713" s="2">
        <f>Tabela1[[#This Row],[orcamento_aprovado]]-Tabela1[[#This Row],[custo_real_acumulado]]</f>
        <v>38142.720000000001</v>
      </c>
      <c r="Q713" t="str">
        <f>IF(Tabela1[[#This Row],[data_fim_real]]="","",Tabela1[[#This Row],[data_fim_real]]-Tabela1[[#This Row],[data_inicio_real]])</f>
        <v/>
      </c>
    </row>
    <row r="714" spans="1:17" ht="16.5" x14ac:dyDescent="0.5">
      <c r="A714" t="s">
        <v>1692</v>
      </c>
      <c r="B714" t="s">
        <v>1693</v>
      </c>
      <c r="C714" t="s">
        <v>182</v>
      </c>
      <c r="D714" t="s">
        <v>38</v>
      </c>
      <c r="E714" t="s">
        <v>20</v>
      </c>
      <c r="F714" s="1">
        <v>46167</v>
      </c>
      <c r="G714" s="1">
        <v>46240</v>
      </c>
      <c r="H714" s="1">
        <v>46166</v>
      </c>
      <c r="I714" s="1"/>
      <c r="J714" s="2">
        <v>50000</v>
      </c>
      <c r="K714" s="2">
        <v>39820.35</v>
      </c>
      <c r="L714" s="2">
        <v>30449.69</v>
      </c>
      <c r="M714">
        <v>810</v>
      </c>
      <c r="N714">
        <v>510</v>
      </c>
      <c r="O714" t="s">
        <v>26</v>
      </c>
      <c r="P714" s="2">
        <f>Tabela1[[#This Row],[orcamento_aprovado]]-Tabela1[[#This Row],[custo_real_acumulado]]</f>
        <v>10179.650000000001</v>
      </c>
      <c r="Q714" t="str">
        <f>IF(Tabela1[[#This Row],[data_fim_real]]="","",Tabela1[[#This Row],[data_fim_real]]-Tabela1[[#This Row],[data_inicio_real]])</f>
        <v/>
      </c>
    </row>
    <row r="715" spans="1:17" ht="16.5" x14ac:dyDescent="0.5">
      <c r="A715" t="s">
        <v>1694</v>
      </c>
      <c r="B715" t="s">
        <v>1695</v>
      </c>
      <c r="C715" t="s">
        <v>486</v>
      </c>
      <c r="D715" t="s">
        <v>33</v>
      </c>
      <c r="E715" t="s">
        <v>20</v>
      </c>
      <c r="F715" s="1">
        <v>46029</v>
      </c>
      <c r="G715" s="1">
        <v>46123</v>
      </c>
      <c r="H715" s="1">
        <v>46028</v>
      </c>
      <c r="I715" s="1"/>
      <c r="J715" s="2">
        <v>50000</v>
      </c>
      <c r="K715" s="2">
        <v>9804.0499999999993</v>
      </c>
      <c r="L715" s="2">
        <v>27499.22</v>
      </c>
      <c r="M715">
        <v>1948</v>
      </c>
      <c r="N715">
        <v>382</v>
      </c>
      <c r="O715" t="s">
        <v>34</v>
      </c>
      <c r="P715" s="2">
        <f>Tabela1[[#This Row],[orcamento_aprovado]]-Tabela1[[#This Row],[custo_real_acumulado]]</f>
        <v>40195.949999999997</v>
      </c>
      <c r="Q715" t="str">
        <f>IF(Tabela1[[#This Row],[data_fim_real]]="","",Tabela1[[#This Row],[data_fim_real]]-Tabela1[[#This Row],[data_inicio_real]])</f>
        <v/>
      </c>
    </row>
    <row r="716" spans="1:17" ht="16.5" x14ac:dyDescent="0.5">
      <c r="A716" t="s">
        <v>1696</v>
      </c>
      <c r="B716" t="s">
        <v>1697</v>
      </c>
      <c r="C716" t="s">
        <v>171</v>
      </c>
      <c r="D716" t="s">
        <v>54</v>
      </c>
      <c r="E716" t="s">
        <v>42</v>
      </c>
      <c r="F716" s="1">
        <v>46024</v>
      </c>
      <c r="G716" s="1">
        <v>46129</v>
      </c>
      <c r="H716" s="1">
        <v>46023</v>
      </c>
      <c r="I716" s="1"/>
      <c r="J716" s="2">
        <v>59307.96</v>
      </c>
      <c r="K716" s="2">
        <v>28010.27</v>
      </c>
      <c r="L716" s="2">
        <v>35611.58</v>
      </c>
      <c r="M716">
        <v>1582</v>
      </c>
      <c r="N716">
        <v>753</v>
      </c>
      <c r="O716" t="s">
        <v>21</v>
      </c>
      <c r="P716" s="2">
        <f>Tabela1[[#This Row],[orcamento_aprovado]]-Tabela1[[#This Row],[custo_real_acumulado]]</f>
        <v>31297.69</v>
      </c>
      <c r="Q716" t="str">
        <f>IF(Tabela1[[#This Row],[data_fim_real]]="","",Tabela1[[#This Row],[data_fim_real]]-Tabela1[[#This Row],[data_inicio_real]])</f>
        <v/>
      </c>
    </row>
    <row r="717" spans="1:17" ht="16.5" x14ac:dyDescent="0.5">
      <c r="A717" t="s">
        <v>1698</v>
      </c>
      <c r="B717" t="s">
        <v>1699</v>
      </c>
      <c r="C717" t="s">
        <v>182</v>
      </c>
      <c r="D717" t="s">
        <v>54</v>
      </c>
      <c r="E717" t="s">
        <v>43</v>
      </c>
      <c r="F717" s="1">
        <v>46117</v>
      </c>
      <c r="G717" s="1">
        <v>46183</v>
      </c>
      <c r="H717" s="1">
        <v>46112</v>
      </c>
      <c r="I717" s="1">
        <v>46153</v>
      </c>
      <c r="J717" s="2">
        <v>163540.06</v>
      </c>
      <c r="K717" s="2">
        <v>150471.53</v>
      </c>
      <c r="L717" s="2">
        <v>289788.26</v>
      </c>
      <c r="M717">
        <v>1704</v>
      </c>
      <c r="N717">
        <v>1891</v>
      </c>
      <c r="O717" t="s">
        <v>26</v>
      </c>
      <c r="P717" s="2">
        <f>Tabela1[[#This Row],[orcamento_aprovado]]-Tabela1[[#This Row],[custo_real_acumulado]]</f>
        <v>13068.529999999999</v>
      </c>
      <c r="Q717">
        <f>IF(Tabela1[[#This Row],[data_fim_real]]="","",Tabela1[[#This Row],[data_fim_real]]-Tabela1[[#This Row],[data_inicio_real]])</f>
        <v>41</v>
      </c>
    </row>
    <row r="718" spans="1:17" ht="16.5" x14ac:dyDescent="0.5">
      <c r="A718" t="s">
        <v>1700</v>
      </c>
      <c r="B718" t="s">
        <v>1701</v>
      </c>
      <c r="C718" t="s">
        <v>1702</v>
      </c>
      <c r="D718" t="s">
        <v>54</v>
      </c>
      <c r="E718" t="s">
        <v>19</v>
      </c>
      <c r="F718" s="1">
        <v>46330</v>
      </c>
      <c r="G718" s="1">
        <v>46387</v>
      </c>
      <c r="H718" s="1">
        <v>46333</v>
      </c>
      <c r="I718" s="1"/>
      <c r="J718" s="2">
        <v>84024.53</v>
      </c>
      <c r="K718" s="2">
        <v>70073.23</v>
      </c>
      <c r="L718" s="2">
        <v>178441.66</v>
      </c>
      <c r="M718">
        <v>2285</v>
      </c>
      <c r="N718">
        <v>1610</v>
      </c>
      <c r="O718" t="s">
        <v>34</v>
      </c>
      <c r="P718" s="2">
        <f>Tabela1[[#This Row],[orcamento_aprovado]]-Tabela1[[#This Row],[custo_real_acumulado]]</f>
        <v>13951.300000000003</v>
      </c>
      <c r="Q718" t="str">
        <f>IF(Tabela1[[#This Row],[data_fim_real]]="","",Tabela1[[#This Row],[data_fim_real]]-Tabela1[[#This Row],[data_inicio_real]])</f>
        <v/>
      </c>
    </row>
    <row r="719" spans="1:17" ht="16.5" x14ac:dyDescent="0.5">
      <c r="A719" t="s">
        <v>1703</v>
      </c>
      <c r="B719" t="s">
        <v>1704</v>
      </c>
      <c r="C719" t="s">
        <v>762</v>
      </c>
      <c r="D719" t="s">
        <v>142</v>
      </c>
      <c r="E719" t="s">
        <v>43</v>
      </c>
      <c r="F719" s="1">
        <v>46368</v>
      </c>
      <c r="G719" s="1">
        <v>46387</v>
      </c>
      <c r="H719" s="1"/>
      <c r="I719" s="1"/>
      <c r="J719" s="2">
        <v>56723</v>
      </c>
      <c r="K719" s="2">
        <v>0</v>
      </c>
      <c r="L719" s="2">
        <v>109154.46</v>
      </c>
      <c r="M719">
        <v>876</v>
      </c>
      <c r="N719">
        <v>0</v>
      </c>
      <c r="O719" t="s">
        <v>21</v>
      </c>
      <c r="P719" s="2">
        <f>Tabela1[[#This Row],[orcamento_aprovado]]-Tabela1[[#This Row],[custo_real_acumulado]]</f>
        <v>56723</v>
      </c>
      <c r="Q719" t="str">
        <f>IF(Tabela1[[#This Row],[data_fim_real]]="","",Tabela1[[#This Row],[data_fim_real]]-Tabela1[[#This Row],[data_inicio_real]])</f>
        <v/>
      </c>
    </row>
    <row r="720" spans="1:17" ht="16.5" x14ac:dyDescent="0.5">
      <c r="A720" t="s">
        <v>1705</v>
      </c>
      <c r="B720" t="s">
        <v>1706</v>
      </c>
      <c r="C720" t="s">
        <v>296</v>
      </c>
      <c r="D720" t="s">
        <v>33</v>
      </c>
      <c r="E720" t="s">
        <v>43</v>
      </c>
      <c r="F720" s="1">
        <v>46120</v>
      </c>
      <c r="G720" s="1">
        <v>46195</v>
      </c>
      <c r="H720" s="1">
        <v>46104</v>
      </c>
      <c r="I720" s="1"/>
      <c r="J720" s="2">
        <v>54116.22</v>
      </c>
      <c r="K720" s="2">
        <v>45640.02</v>
      </c>
      <c r="L720" s="2">
        <v>72122.5</v>
      </c>
      <c r="M720">
        <v>1737</v>
      </c>
      <c r="N720">
        <v>1497</v>
      </c>
      <c r="O720" t="s">
        <v>26</v>
      </c>
      <c r="P720" s="2">
        <f>Tabela1[[#This Row],[orcamento_aprovado]]-Tabela1[[#This Row],[custo_real_acumulado]]</f>
        <v>8476.2000000000044</v>
      </c>
      <c r="Q720" t="str">
        <f>IF(Tabela1[[#This Row],[data_fim_real]]="","",Tabela1[[#This Row],[data_fim_real]]-Tabela1[[#This Row],[data_inicio_real]])</f>
        <v/>
      </c>
    </row>
    <row r="721" spans="1:17" ht="16.5" x14ac:dyDescent="0.5">
      <c r="A721" t="s">
        <v>1707</v>
      </c>
      <c r="B721" t="s">
        <v>1708</v>
      </c>
      <c r="C721" t="s">
        <v>352</v>
      </c>
      <c r="D721" t="s">
        <v>54</v>
      </c>
      <c r="E721" t="s">
        <v>19</v>
      </c>
      <c r="F721" s="1">
        <v>46218</v>
      </c>
      <c r="G721" s="1">
        <v>46285</v>
      </c>
      <c r="H721" s="1">
        <v>46213</v>
      </c>
      <c r="I721" s="1">
        <v>46277</v>
      </c>
      <c r="J721" s="2">
        <v>53618.39</v>
      </c>
      <c r="K721" s="2">
        <v>52649.31</v>
      </c>
      <c r="L721" s="2">
        <v>82341.47</v>
      </c>
      <c r="M721">
        <v>1686</v>
      </c>
      <c r="N721">
        <v>1991</v>
      </c>
      <c r="O721" t="s">
        <v>34</v>
      </c>
      <c r="P721" s="2">
        <f>Tabela1[[#This Row],[orcamento_aprovado]]-Tabela1[[#This Row],[custo_real_acumulado]]</f>
        <v>969.08000000000175</v>
      </c>
      <c r="Q721">
        <f>IF(Tabela1[[#This Row],[data_fim_real]]="","",Tabela1[[#This Row],[data_fim_real]]-Tabela1[[#This Row],[data_inicio_real]])</f>
        <v>64</v>
      </c>
    </row>
    <row r="722" spans="1:17" ht="16.5" x14ac:dyDescent="0.5">
      <c r="A722" t="s">
        <v>1709</v>
      </c>
      <c r="B722" t="s">
        <v>1710</v>
      </c>
      <c r="C722" t="s">
        <v>1312</v>
      </c>
      <c r="D722" t="s">
        <v>71</v>
      </c>
      <c r="E722" t="s">
        <v>43</v>
      </c>
      <c r="F722" s="1">
        <v>46304</v>
      </c>
      <c r="G722" s="1">
        <v>46387</v>
      </c>
      <c r="H722" s="1">
        <v>46320</v>
      </c>
      <c r="I722" s="1"/>
      <c r="J722" s="2">
        <v>115699.69</v>
      </c>
      <c r="K722" s="2">
        <v>75627.77</v>
      </c>
      <c r="L722" s="2">
        <v>249536.34</v>
      </c>
      <c r="M722">
        <v>3829</v>
      </c>
      <c r="N722">
        <v>2146</v>
      </c>
      <c r="O722" t="s">
        <v>21</v>
      </c>
      <c r="P722" s="2">
        <f>Tabela1[[#This Row],[orcamento_aprovado]]-Tabela1[[#This Row],[custo_real_acumulado]]</f>
        <v>40071.919999999998</v>
      </c>
      <c r="Q722" t="str">
        <f>IF(Tabela1[[#This Row],[data_fim_real]]="","",Tabela1[[#This Row],[data_fim_real]]-Tabela1[[#This Row],[data_inicio_real]])</f>
        <v/>
      </c>
    </row>
    <row r="723" spans="1:17" ht="16.5" x14ac:dyDescent="0.5">
      <c r="A723" t="s">
        <v>1711</v>
      </c>
      <c r="B723" t="s">
        <v>1712</v>
      </c>
      <c r="C723" t="s">
        <v>928</v>
      </c>
      <c r="D723" t="s">
        <v>33</v>
      </c>
      <c r="E723" t="s">
        <v>43</v>
      </c>
      <c r="F723" s="1">
        <v>46236</v>
      </c>
      <c r="G723" s="1">
        <v>46296</v>
      </c>
      <c r="H723" s="1">
        <v>46239</v>
      </c>
      <c r="I723" s="1"/>
      <c r="J723" s="2">
        <v>320649.59000000003</v>
      </c>
      <c r="K723" s="2">
        <v>215202</v>
      </c>
      <c r="L723" s="2">
        <v>224766.65</v>
      </c>
      <c r="M723">
        <v>1817</v>
      </c>
      <c r="N723">
        <v>1160</v>
      </c>
      <c r="O723" t="s">
        <v>26</v>
      </c>
      <c r="P723" s="2">
        <f>Tabela1[[#This Row],[orcamento_aprovado]]-Tabela1[[#This Row],[custo_real_acumulado]]</f>
        <v>105447.59000000003</v>
      </c>
      <c r="Q723" t="str">
        <f>IF(Tabela1[[#This Row],[data_fim_real]]="","",Tabela1[[#This Row],[data_fim_real]]-Tabela1[[#This Row],[data_inicio_real]])</f>
        <v/>
      </c>
    </row>
    <row r="724" spans="1:17" ht="16.5" x14ac:dyDescent="0.5">
      <c r="A724" t="s">
        <v>1713</v>
      </c>
      <c r="B724" t="s">
        <v>1714</v>
      </c>
      <c r="C724" t="s">
        <v>662</v>
      </c>
      <c r="D724" t="s">
        <v>33</v>
      </c>
      <c r="E724" t="s">
        <v>19</v>
      </c>
      <c r="F724" s="1">
        <v>46032</v>
      </c>
      <c r="G724" s="1">
        <v>46090</v>
      </c>
      <c r="H724" s="1">
        <v>46031</v>
      </c>
      <c r="I724" s="1"/>
      <c r="J724" s="2">
        <v>155992.79</v>
      </c>
      <c r="K724" s="2">
        <v>111192.62</v>
      </c>
      <c r="L724" s="2">
        <v>124443.81</v>
      </c>
      <c r="M724">
        <v>986</v>
      </c>
      <c r="N724">
        <v>687</v>
      </c>
      <c r="O724" t="s">
        <v>34</v>
      </c>
      <c r="P724" s="2">
        <f>Tabela1[[#This Row],[orcamento_aprovado]]-Tabela1[[#This Row],[custo_real_acumulado]]</f>
        <v>44800.170000000013</v>
      </c>
      <c r="Q724" t="str">
        <f>IF(Tabela1[[#This Row],[data_fim_real]]="","",Tabela1[[#This Row],[data_fim_real]]-Tabela1[[#This Row],[data_inicio_real]])</f>
        <v/>
      </c>
    </row>
    <row r="725" spans="1:17" ht="16.5" x14ac:dyDescent="0.5">
      <c r="A725" t="s">
        <v>1715</v>
      </c>
      <c r="B725" t="s">
        <v>1716</v>
      </c>
      <c r="C725" t="s">
        <v>157</v>
      </c>
      <c r="D725" t="s">
        <v>33</v>
      </c>
      <c r="E725" t="s">
        <v>42</v>
      </c>
      <c r="F725" s="1">
        <v>46326</v>
      </c>
      <c r="G725" s="1">
        <v>46387</v>
      </c>
      <c r="H725" s="1">
        <v>46324</v>
      </c>
      <c r="I725" s="1"/>
      <c r="J725" s="2">
        <v>89268.41</v>
      </c>
      <c r="K725" s="2">
        <v>70487.23</v>
      </c>
      <c r="L725" s="2">
        <v>103758.56</v>
      </c>
      <c r="M725">
        <v>1012</v>
      </c>
      <c r="N725">
        <v>672</v>
      </c>
      <c r="O725" t="s">
        <v>21</v>
      </c>
      <c r="P725" s="2">
        <f>Tabela1[[#This Row],[orcamento_aprovado]]-Tabela1[[#This Row],[custo_real_acumulado]]</f>
        <v>18781.180000000008</v>
      </c>
      <c r="Q725" t="str">
        <f>IF(Tabela1[[#This Row],[data_fim_real]]="","",Tabela1[[#This Row],[data_fim_real]]-Tabela1[[#This Row],[data_inicio_real]])</f>
        <v/>
      </c>
    </row>
    <row r="726" spans="1:17" ht="16.5" x14ac:dyDescent="0.5">
      <c r="A726" t="s">
        <v>1717</v>
      </c>
      <c r="B726" t="s">
        <v>1718</v>
      </c>
      <c r="C726" t="s">
        <v>1094</v>
      </c>
      <c r="D726" t="s">
        <v>33</v>
      </c>
      <c r="E726" t="s">
        <v>43</v>
      </c>
      <c r="F726" s="1">
        <v>46057</v>
      </c>
      <c r="G726" s="1">
        <v>46174</v>
      </c>
      <c r="H726" s="1">
        <v>46053</v>
      </c>
      <c r="I726" s="1">
        <v>46159</v>
      </c>
      <c r="J726" s="2">
        <v>118749.78</v>
      </c>
      <c r="K726" s="2">
        <v>141418.47</v>
      </c>
      <c r="L726" s="2">
        <v>171308.25</v>
      </c>
      <c r="M726">
        <v>1815</v>
      </c>
      <c r="N726">
        <v>1463</v>
      </c>
      <c r="O726" t="s">
        <v>26</v>
      </c>
      <c r="P726" s="2">
        <f>Tabela1[[#This Row],[orcamento_aprovado]]-Tabela1[[#This Row],[custo_real_acumulado]]</f>
        <v>-22668.690000000002</v>
      </c>
      <c r="Q726">
        <f>IF(Tabela1[[#This Row],[data_fim_real]]="","",Tabela1[[#This Row],[data_fim_real]]-Tabela1[[#This Row],[data_inicio_real]])</f>
        <v>106</v>
      </c>
    </row>
    <row r="727" spans="1:17" ht="16.5" x14ac:dyDescent="0.5">
      <c r="A727" t="s">
        <v>1719</v>
      </c>
      <c r="B727" t="s">
        <v>1720</v>
      </c>
      <c r="C727" t="s">
        <v>416</v>
      </c>
      <c r="D727" t="s">
        <v>33</v>
      </c>
      <c r="E727" t="s">
        <v>43</v>
      </c>
      <c r="F727" s="1">
        <v>46332</v>
      </c>
      <c r="G727" s="1">
        <v>46387</v>
      </c>
      <c r="H727" s="1">
        <v>46330</v>
      </c>
      <c r="I727" s="1">
        <v>46382</v>
      </c>
      <c r="J727" s="2">
        <v>50000</v>
      </c>
      <c r="K727" s="2">
        <v>45260.55</v>
      </c>
      <c r="L727" s="2">
        <v>78972.2</v>
      </c>
      <c r="M727">
        <v>815</v>
      </c>
      <c r="N727">
        <v>775</v>
      </c>
      <c r="O727" t="s">
        <v>34</v>
      </c>
      <c r="P727" s="2">
        <f>Tabela1[[#This Row],[orcamento_aprovado]]-Tabela1[[#This Row],[custo_real_acumulado]]</f>
        <v>4739.4499999999971</v>
      </c>
      <c r="Q727">
        <f>IF(Tabela1[[#This Row],[data_fim_real]]="","",Tabela1[[#This Row],[data_fim_real]]-Tabela1[[#This Row],[data_inicio_real]])</f>
        <v>52</v>
      </c>
    </row>
    <row r="728" spans="1:17" ht="16.5" x14ac:dyDescent="0.5">
      <c r="A728" t="s">
        <v>1721</v>
      </c>
      <c r="B728" t="s">
        <v>1722</v>
      </c>
      <c r="C728" t="s">
        <v>691</v>
      </c>
      <c r="D728" t="s">
        <v>58</v>
      </c>
      <c r="E728" t="s">
        <v>43</v>
      </c>
      <c r="F728" s="1">
        <v>46096</v>
      </c>
      <c r="G728" s="1">
        <v>46198</v>
      </c>
      <c r="H728" s="1"/>
      <c r="I728" s="1"/>
      <c r="J728" s="2">
        <v>545844.43999999994</v>
      </c>
      <c r="K728" s="2">
        <v>0</v>
      </c>
      <c r="L728" s="2">
        <v>520333.16</v>
      </c>
      <c r="M728">
        <v>1572</v>
      </c>
      <c r="N728">
        <v>0</v>
      </c>
      <c r="O728" t="s">
        <v>21</v>
      </c>
      <c r="P728" s="2">
        <f>Tabela1[[#This Row],[orcamento_aprovado]]-Tabela1[[#This Row],[custo_real_acumulado]]</f>
        <v>545844.43999999994</v>
      </c>
      <c r="Q728" t="str">
        <f>IF(Tabela1[[#This Row],[data_fim_real]]="","",Tabela1[[#This Row],[data_fim_real]]-Tabela1[[#This Row],[data_inicio_real]])</f>
        <v/>
      </c>
    </row>
    <row r="729" spans="1:17" ht="16.5" x14ac:dyDescent="0.5">
      <c r="A729" t="s">
        <v>1723</v>
      </c>
      <c r="B729" t="s">
        <v>1724</v>
      </c>
      <c r="C729" t="s">
        <v>235</v>
      </c>
      <c r="D729" t="s">
        <v>33</v>
      </c>
      <c r="E729" t="s">
        <v>42</v>
      </c>
      <c r="F729" s="1">
        <v>46168</v>
      </c>
      <c r="G729" s="1">
        <v>46286</v>
      </c>
      <c r="H729" s="1">
        <v>46182</v>
      </c>
      <c r="I729" s="1"/>
      <c r="J729" s="2">
        <v>68792.070000000007</v>
      </c>
      <c r="K729" s="2">
        <v>40933.300000000003</v>
      </c>
      <c r="L729" s="2">
        <v>56963.4</v>
      </c>
      <c r="M729">
        <v>3263</v>
      </c>
      <c r="N729">
        <v>1945</v>
      </c>
      <c r="O729" t="s">
        <v>26</v>
      </c>
      <c r="P729" s="2">
        <f>Tabela1[[#This Row],[orcamento_aprovado]]-Tabela1[[#This Row],[custo_real_acumulado]]</f>
        <v>27858.770000000004</v>
      </c>
      <c r="Q729" t="str">
        <f>IF(Tabela1[[#This Row],[data_fim_real]]="","",Tabela1[[#This Row],[data_fim_real]]-Tabela1[[#This Row],[data_inicio_real]])</f>
        <v/>
      </c>
    </row>
    <row r="730" spans="1:17" ht="16.5" x14ac:dyDescent="0.5">
      <c r="A730" t="s">
        <v>1725</v>
      </c>
      <c r="B730" t="s">
        <v>1726</v>
      </c>
      <c r="C730" t="s">
        <v>587</v>
      </c>
      <c r="D730" t="s">
        <v>50</v>
      </c>
      <c r="E730" t="s">
        <v>43</v>
      </c>
      <c r="F730" s="1">
        <v>46040</v>
      </c>
      <c r="G730" s="1">
        <v>46054</v>
      </c>
      <c r="H730" s="1">
        <v>46047</v>
      </c>
      <c r="I730" s="1"/>
      <c r="J730" s="2">
        <v>147161.87</v>
      </c>
      <c r="K730" s="2">
        <v>34293.97</v>
      </c>
      <c r="L730" s="2">
        <v>131160.32000000001</v>
      </c>
      <c r="M730">
        <v>145</v>
      </c>
      <c r="N730">
        <v>31</v>
      </c>
      <c r="O730" t="s">
        <v>34</v>
      </c>
      <c r="P730" s="2">
        <f>Tabela1[[#This Row],[orcamento_aprovado]]-Tabela1[[#This Row],[custo_real_acumulado]]</f>
        <v>112867.9</v>
      </c>
      <c r="Q730" t="str">
        <f>IF(Tabela1[[#This Row],[data_fim_real]]="","",Tabela1[[#This Row],[data_fim_real]]-Tabela1[[#This Row],[data_inicio_real]])</f>
        <v/>
      </c>
    </row>
    <row r="731" spans="1:17" ht="16.5" x14ac:dyDescent="0.5">
      <c r="A731" t="s">
        <v>1727</v>
      </c>
      <c r="B731" t="s">
        <v>1728</v>
      </c>
      <c r="C731" t="s">
        <v>1465</v>
      </c>
      <c r="D731" t="s">
        <v>50</v>
      </c>
      <c r="E731" t="s">
        <v>42</v>
      </c>
      <c r="F731" s="1">
        <v>46064</v>
      </c>
      <c r="G731" s="1">
        <v>46151</v>
      </c>
      <c r="H731" s="1">
        <v>46062</v>
      </c>
      <c r="I731" s="1"/>
      <c r="J731" s="2">
        <v>201491.43</v>
      </c>
      <c r="K731" s="2">
        <v>73759.710000000006</v>
      </c>
      <c r="L731" s="2">
        <v>255310.63</v>
      </c>
      <c r="M731">
        <v>1420</v>
      </c>
      <c r="N731">
        <v>599</v>
      </c>
      <c r="O731" t="s">
        <v>21</v>
      </c>
      <c r="P731" s="2">
        <f>Tabela1[[#This Row],[orcamento_aprovado]]-Tabela1[[#This Row],[custo_real_acumulado]]</f>
        <v>127731.71999999999</v>
      </c>
      <c r="Q731" t="str">
        <f>IF(Tabela1[[#This Row],[data_fim_real]]="","",Tabela1[[#This Row],[data_fim_real]]-Tabela1[[#This Row],[data_inicio_real]])</f>
        <v/>
      </c>
    </row>
    <row r="732" spans="1:17" ht="16.5" x14ac:dyDescent="0.5">
      <c r="A732" t="s">
        <v>1729</v>
      </c>
      <c r="B732" t="s">
        <v>1730</v>
      </c>
      <c r="C732" t="s">
        <v>46</v>
      </c>
      <c r="D732" t="s">
        <v>71</v>
      </c>
      <c r="E732" t="s">
        <v>20</v>
      </c>
      <c r="F732" s="1">
        <v>46353</v>
      </c>
      <c r="G732" s="1">
        <v>46387</v>
      </c>
      <c r="H732" s="1">
        <v>46355</v>
      </c>
      <c r="I732" s="1"/>
      <c r="J732" s="2">
        <v>85145.74</v>
      </c>
      <c r="K732" s="2">
        <v>3758.93</v>
      </c>
      <c r="L732" s="2">
        <v>69428.710000000006</v>
      </c>
      <c r="M732">
        <v>551</v>
      </c>
      <c r="N732">
        <v>31</v>
      </c>
      <c r="O732" t="s">
        <v>26</v>
      </c>
      <c r="P732" s="2">
        <f>Tabela1[[#This Row],[orcamento_aprovado]]-Tabela1[[#This Row],[custo_real_acumulado]]</f>
        <v>81386.810000000012</v>
      </c>
      <c r="Q732" t="str">
        <f>IF(Tabela1[[#This Row],[data_fim_real]]="","",Tabela1[[#This Row],[data_fim_real]]-Tabela1[[#This Row],[data_inicio_real]])</f>
        <v/>
      </c>
    </row>
    <row r="733" spans="1:17" ht="16.5" x14ac:dyDescent="0.5">
      <c r="A733" t="s">
        <v>1731</v>
      </c>
      <c r="B733" t="s">
        <v>1732</v>
      </c>
      <c r="C733" t="s">
        <v>971</v>
      </c>
      <c r="D733" t="s">
        <v>33</v>
      </c>
      <c r="E733" t="s">
        <v>43</v>
      </c>
      <c r="F733" s="1">
        <v>46275</v>
      </c>
      <c r="G733" s="1">
        <v>46339</v>
      </c>
      <c r="H733" s="1">
        <v>46285</v>
      </c>
      <c r="I733" s="1"/>
      <c r="J733" s="2">
        <v>82781.279999999999</v>
      </c>
      <c r="K733" s="2">
        <v>51242.879999999997</v>
      </c>
      <c r="L733" s="2">
        <v>147288.65</v>
      </c>
      <c r="M733">
        <v>4453</v>
      </c>
      <c r="N733">
        <v>2656</v>
      </c>
      <c r="O733" t="s">
        <v>34</v>
      </c>
      <c r="P733" s="2">
        <f>Tabela1[[#This Row],[orcamento_aprovado]]-Tabela1[[#This Row],[custo_real_acumulado]]</f>
        <v>31538.400000000001</v>
      </c>
      <c r="Q733" t="str">
        <f>IF(Tabela1[[#This Row],[data_fim_real]]="","",Tabela1[[#This Row],[data_fim_real]]-Tabela1[[#This Row],[data_inicio_real]])</f>
        <v/>
      </c>
    </row>
    <row r="734" spans="1:17" ht="16.5" x14ac:dyDescent="0.5">
      <c r="A734" t="s">
        <v>1733</v>
      </c>
      <c r="B734" t="s">
        <v>1734</v>
      </c>
      <c r="C734" t="s">
        <v>205</v>
      </c>
      <c r="D734" t="s">
        <v>18</v>
      </c>
      <c r="E734" t="s">
        <v>43</v>
      </c>
      <c r="F734" s="1">
        <v>46026</v>
      </c>
      <c r="G734" s="1">
        <v>46151</v>
      </c>
      <c r="H734" s="1">
        <v>46025</v>
      </c>
      <c r="I734" s="1"/>
      <c r="J734" s="2">
        <v>79498.91</v>
      </c>
      <c r="K734" s="2">
        <v>46837.13</v>
      </c>
      <c r="L734" s="2">
        <v>78717.259999999995</v>
      </c>
      <c r="M734">
        <v>3489</v>
      </c>
      <c r="N734">
        <v>1969</v>
      </c>
      <c r="O734" t="s">
        <v>21</v>
      </c>
      <c r="P734" s="2">
        <f>Tabela1[[#This Row],[orcamento_aprovado]]-Tabela1[[#This Row],[custo_real_acumulado]]</f>
        <v>32661.780000000006</v>
      </c>
      <c r="Q734" t="str">
        <f>IF(Tabela1[[#This Row],[data_fim_real]]="","",Tabela1[[#This Row],[data_fim_real]]-Tabela1[[#This Row],[data_inicio_real]])</f>
        <v/>
      </c>
    </row>
    <row r="735" spans="1:17" ht="16.5" x14ac:dyDescent="0.5">
      <c r="A735" t="s">
        <v>1735</v>
      </c>
      <c r="B735" t="s">
        <v>1736</v>
      </c>
      <c r="C735" t="s">
        <v>416</v>
      </c>
      <c r="D735" t="s">
        <v>38</v>
      </c>
      <c r="E735" t="s">
        <v>19</v>
      </c>
      <c r="F735" s="1">
        <v>46285</v>
      </c>
      <c r="G735" s="1">
        <v>46381</v>
      </c>
      <c r="H735" s="1">
        <v>46302</v>
      </c>
      <c r="I735" s="1"/>
      <c r="J735" s="2">
        <v>352058.64</v>
      </c>
      <c r="K735" s="2">
        <v>106704.17</v>
      </c>
      <c r="L735" s="2">
        <v>248713.04</v>
      </c>
      <c r="M735">
        <v>1049</v>
      </c>
      <c r="N735">
        <v>301</v>
      </c>
      <c r="O735" t="s">
        <v>26</v>
      </c>
      <c r="P735" s="2">
        <f>Tabela1[[#This Row],[orcamento_aprovado]]-Tabela1[[#This Row],[custo_real_acumulado]]</f>
        <v>245354.47000000003</v>
      </c>
      <c r="Q735" t="str">
        <f>IF(Tabela1[[#This Row],[data_fim_real]]="","",Tabela1[[#This Row],[data_fim_real]]-Tabela1[[#This Row],[data_inicio_real]])</f>
        <v/>
      </c>
    </row>
    <row r="736" spans="1:17" ht="16.5" x14ac:dyDescent="0.5">
      <c r="A736" t="s">
        <v>1737</v>
      </c>
      <c r="B736" t="s">
        <v>1738</v>
      </c>
      <c r="C736" t="s">
        <v>386</v>
      </c>
      <c r="D736" t="s">
        <v>33</v>
      </c>
      <c r="E736" t="s">
        <v>20</v>
      </c>
      <c r="F736" s="1">
        <v>46284</v>
      </c>
      <c r="G736" s="1">
        <v>46375</v>
      </c>
      <c r="H736" s="1">
        <v>46284</v>
      </c>
      <c r="I736" s="1"/>
      <c r="J736" s="2">
        <v>82263.759999999995</v>
      </c>
      <c r="K736" s="2">
        <v>69418.61</v>
      </c>
      <c r="L736" s="2">
        <v>172262.37</v>
      </c>
      <c r="M736">
        <v>4544</v>
      </c>
      <c r="N736">
        <v>4060</v>
      </c>
      <c r="O736" t="s">
        <v>34</v>
      </c>
      <c r="P736" s="2">
        <f>Tabela1[[#This Row],[orcamento_aprovado]]-Tabela1[[#This Row],[custo_real_acumulado]]</f>
        <v>12845.149999999994</v>
      </c>
      <c r="Q736" t="str">
        <f>IF(Tabela1[[#This Row],[data_fim_real]]="","",Tabela1[[#This Row],[data_fim_real]]-Tabela1[[#This Row],[data_inicio_real]])</f>
        <v/>
      </c>
    </row>
    <row r="737" spans="1:17" ht="16.5" x14ac:dyDescent="0.5">
      <c r="A737" t="s">
        <v>1739</v>
      </c>
      <c r="B737" t="s">
        <v>1740</v>
      </c>
      <c r="C737" t="s">
        <v>738</v>
      </c>
      <c r="D737" t="s">
        <v>71</v>
      </c>
      <c r="E737" t="s">
        <v>43</v>
      </c>
      <c r="F737" s="1">
        <v>46338</v>
      </c>
      <c r="G737" s="1">
        <v>46387</v>
      </c>
      <c r="H737" s="1">
        <v>46330</v>
      </c>
      <c r="I737" s="1">
        <v>46331</v>
      </c>
      <c r="J737" s="2">
        <v>93703.360000000001</v>
      </c>
      <c r="K737" s="2">
        <v>25515.68</v>
      </c>
      <c r="L737" s="2">
        <v>53093.7</v>
      </c>
      <c r="M737">
        <v>2139</v>
      </c>
      <c r="N737">
        <v>543</v>
      </c>
      <c r="O737" t="s">
        <v>21</v>
      </c>
      <c r="P737" s="2">
        <f>Tabela1[[#This Row],[orcamento_aprovado]]-Tabela1[[#This Row],[custo_real_acumulado]]</f>
        <v>68187.679999999993</v>
      </c>
      <c r="Q737">
        <f>IF(Tabela1[[#This Row],[data_fim_real]]="","",Tabela1[[#This Row],[data_fim_real]]-Tabela1[[#This Row],[data_inicio_real]])</f>
        <v>1</v>
      </c>
    </row>
    <row r="738" spans="1:17" ht="16.5" x14ac:dyDescent="0.5">
      <c r="A738" t="s">
        <v>1741</v>
      </c>
      <c r="B738" t="s">
        <v>1742</v>
      </c>
      <c r="C738" t="s">
        <v>1230</v>
      </c>
      <c r="D738" t="s">
        <v>142</v>
      </c>
      <c r="E738" t="s">
        <v>20</v>
      </c>
      <c r="F738" s="1">
        <v>46166</v>
      </c>
      <c r="G738" s="1">
        <v>46198</v>
      </c>
      <c r="H738" s="1">
        <v>46167</v>
      </c>
      <c r="I738" s="1"/>
      <c r="J738" s="2">
        <v>317686.55</v>
      </c>
      <c r="K738" s="2">
        <v>182142</v>
      </c>
      <c r="L738" s="2">
        <v>290618.84999999998</v>
      </c>
      <c r="M738">
        <v>935</v>
      </c>
      <c r="N738">
        <v>486</v>
      </c>
      <c r="O738" t="s">
        <v>26</v>
      </c>
      <c r="P738" s="2">
        <f>Tabela1[[#This Row],[orcamento_aprovado]]-Tabela1[[#This Row],[custo_real_acumulado]]</f>
        <v>135544.54999999999</v>
      </c>
      <c r="Q738" t="str">
        <f>IF(Tabela1[[#This Row],[data_fim_real]]="","",Tabela1[[#This Row],[data_fim_real]]-Tabela1[[#This Row],[data_inicio_real]])</f>
        <v/>
      </c>
    </row>
    <row r="739" spans="1:17" ht="16.5" x14ac:dyDescent="0.5">
      <c r="A739" t="s">
        <v>1743</v>
      </c>
      <c r="B739" t="s">
        <v>1744</v>
      </c>
      <c r="C739" t="s">
        <v>200</v>
      </c>
      <c r="D739" t="s">
        <v>54</v>
      </c>
      <c r="E739" t="s">
        <v>20</v>
      </c>
      <c r="F739" s="1">
        <v>46308</v>
      </c>
      <c r="G739" s="1">
        <v>46387</v>
      </c>
      <c r="H739" s="1">
        <v>46316</v>
      </c>
      <c r="I739" s="1"/>
      <c r="J739" s="2">
        <v>69697.14</v>
      </c>
      <c r="K739" s="2">
        <v>18458.36</v>
      </c>
      <c r="L739" s="2">
        <v>48926.58</v>
      </c>
      <c r="M739">
        <v>2303</v>
      </c>
      <c r="N739">
        <v>649</v>
      </c>
      <c r="O739" t="s">
        <v>34</v>
      </c>
      <c r="P739" s="2">
        <f>Tabela1[[#This Row],[orcamento_aprovado]]-Tabela1[[#This Row],[custo_real_acumulado]]</f>
        <v>51238.78</v>
      </c>
      <c r="Q739" t="str">
        <f>IF(Tabela1[[#This Row],[data_fim_real]]="","",Tabela1[[#This Row],[data_fim_real]]-Tabela1[[#This Row],[data_inicio_real]])</f>
        <v/>
      </c>
    </row>
    <row r="740" spans="1:17" ht="16.5" x14ac:dyDescent="0.5">
      <c r="A740" t="s">
        <v>1745</v>
      </c>
      <c r="B740" t="s">
        <v>1746</v>
      </c>
      <c r="C740" t="s">
        <v>129</v>
      </c>
      <c r="D740" t="s">
        <v>71</v>
      </c>
      <c r="E740" t="s">
        <v>20</v>
      </c>
      <c r="F740" s="1">
        <v>46166</v>
      </c>
      <c r="G740" s="1">
        <v>46190</v>
      </c>
      <c r="H740" s="1">
        <v>46171</v>
      </c>
      <c r="I740" s="1">
        <v>46196</v>
      </c>
      <c r="J740" s="2">
        <v>50000</v>
      </c>
      <c r="K740" s="2">
        <v>59317.78</v>
      </c>
      <c r="L740" s="2">
        <v>19763.68</v>
      </c>
      <c r="M740">
        <v>517</v>
      </c>
      <c r="N740">
        <v>561</v>
      </c>
      <c r="O740" t="s">
        <v>21</v>
      </c>
      <c r="P740" s="2">
        <f>Tabela1[[#This Row],[orcamento_aprovado]]-Tabela1[[#This Row],[custo_real_acumulado]]</f>
        <v>-9317.7799999999988</v>
      </c>
      <c r="Q740">
        <f>IF(Tabela1[[#This Row],[data_fim_real]]="","",Tabela1[[#This Row],[data_fim_real]]-Tabela1[[#This Row],[data_inicio_real]])</f>
        <v>25</v>
      </c>
    </row>
    <row r="741" spans="1:17" ht="16.5" x14ac:dyDescent="0.5">
      <c r="A741" t="s">
        <v>1747</v>
      </c>
      <c r="B741" t="s">
        <v>1748</v>
      </c>
      <c r="C741" t="s">
        <v>902</v>
      </c>
      <c r="D741" t="s">
        <v>25</v>
      </c>
      <c r="E741" t="s">
        <v>43</v>
      </c>
      <c r="F741" s="1">
        <v>46047</v>
      </c>
      <c r="G741" s="1">
        <v>46133</v>
      </c>
      <c r="H741" s="1">
        <v>46059</v>
      </c>
      <c r="I741" s="1"/>
      <c r="J741" s="2">
        <v>173269.43</v>
      </c>
      <c r="K741" s="2">
        <v>70894.06</v>
      </c>
      <c r="L741" s="2">
        <v>119676.5</v>
      </c>
      <c r="M741">
        <v>4285</v>
      </c>
      <c r="N741">
        <v>1861</v>
      </c>
      <c r="O741" t="s">
        <v>26</v>
      </c>
      <c r="P741" s="2">
        <f>Tabela1[[#This Row],[orcamento_aprovado]]-Tabela1[[#This Row],[custo_real_acumulado]]</f>
        <v>102375.37</v>
      </c>
      <c r="Q741" t="str">
        <f>IF(Tabela1[[#This Row],[data_fim_real]]="","",Tabela1[[#This Row],[data_fim_real]]-Tabela1[[#This Row],[data_inicio_real]])</f>
        <v/>
      </c>
    </row>
    <row r="742" spans="1:17" ht="16.5" x14ac:dyDescent="0.5">
      <c r="A742" t="s">
        <v>1749</v>
      </c>
      <c r="B742" t="s">
        <v>1750</v>
      </c>
      <c r="C742" t="s">
        <v>265</v>
      </c>
      <c r="D742" t="s">
        <v>33</v>
      </c>
      <c r="E742" t="s">
        <v>20</v>
      </c>
      <c r="F742" s="1">
        <v>46098</v>
      </c>
      <c r="G742" s="1">
        <v>46185</v>
      </c>
      <c r="H742" s="1">
        <v>46090</v>
      </c>
      <c r="I742" s="1"/>
      <c r="J742" s="2">
        <v>50000</v>
      </c>
      <c r="K742" s="2">
        <v>36146.080000000002</v>
      </c>
      <c r="L742" s="2">
        <v>54066.6</v>
      </c>
      <c r="M742">
        <v>3371</v>
      </c>
      <c r="N742">
        <v>2010</v>
      </c>
      <c r="O742" t="s">
        <v>34</v>
      </c>
      <c r="P742" s="2">
        <f>Tabela1[[#This Row],[orcamento_aprovado]]-Tabela1[[#This Row],[custo_real_acumulado]]</f>
        <v>13853.919999999998</v>
      </c>
      <c r="Q742" t="str">
        <f>IF(Tabela1[[#This Row],[data_fim_real]]="","",Tabela1[[#This Row],[data_fim_real]]-Tabela1[[#This Row],[data_inicio_real]])</f>
        <v/>
      </c>
    </row>
    <row r="743" spans="1:17" ht="16.5" x14ac:dyDescent="0.5">
      <c r="A743" t="s">
        <v>1751</v>
      </c>
      <c r="B743" t="s">
        <v>1752</v>
      </c>
      <c r="C743" t="s">
        <v>765</v>
      </c>
      <c r="D743" t="s">
        <v>50</v>
      </c>
      <c r="E743" t="s">
        <v>19</v>
      </c>
      <c r="F743" s="1">
        <v>46329</v>
      </c>
      <c r="G743" s="1">
        <v>46370</v>
      </c>
      <c r="H743" s="1">
        <v>46331</v>
      </c>
      <c r="I743" s="1">
        <v>46386</v>
      </c>
      <c r="J743" s="2">
        <v>90025.600000000006</v>
      </c>
      <c r="K743" s="2">
        <v>100974.05</v>
      </c>
      <c r="L743" s="2">
        <v>169358.77</v>
      </c>
      <c r="M743">
        <v>935</v>
      </c>
      <c r="N743">
        <v>1105</v>
      </c>
      <c r="O743" t="s">
        <v>21</v>
      </c>
      <c r="P743" s="2">
        <f>Tabela1[[#This Row],[orcamento_aprovado]]-Tabela1[[#This Row],[custo_real_acumulado]]</f>
        <v>-10948.449999999997</v>
      </c>
      <c r="Q743">
        <f>IF(Tabela1[[#This Row],[data_fim_real]]="","",Tabela1[[#This Row],[data_fim_real]]-Tabela1[[#This Row],[data_inicio_real]])</f>
        <v>55</v>
      </c>
    </row>
    <row r="744" spans="1:17" ht="16.5" x14ac:dyDescent="0.5">
      <c r="A744" t="s">
        <v>1753</v>
      </c>
      <c r="B744" t="s">
        <v>1754</v>
      </c>
      <c r="C744" t="s">
        <v>670</v>
      </c>
      <c r="D744" t="s">
        <v>50</v>
      </c>
      <c r="E744" t="s">
        <v>43</v>
      </c>
      <c r="F744" s="1">
        <v>46107</v>
      </c>
      <c r="G744" s="1">
        <v>46216</v>
      </c>
      <c r="H744" s="1">
        <v>46090</v>
      </c>
      <c r="I744" s="1"/>
      <c r="J744" s="2">
        <v>62908.23</v>
      </c>
      <c r="K744" s="2">
        <v>36470.32</v>
      </c>
      <c r="L744" s="2">
        <v>128028.73</v>
      </c>
      <c r="M744">
        <v>2237</v>
      </c>
      <c r="N744">
        <v>1220</v>
      </c>
      <c r="O744" t="s">
        <v>26</v>
      </c>
      <c r="P744" s="2">
        <f>Tabela1[[#This Row],[orcamento_aprovado]]-Tabela1[[#This Row],[custo_real_acumulado]]</f>
        <v>26437.910000000003</v>
      </c>
      <c r="Q744" t="str">
        <f>IF(Tabela1[[#This Row],[data_fim_real]]="","",Tabela1[[#This Row],[data_fim_real]]-Tabela1[[#This Row],[data_inicio_real]])</f>
        <v/>
      </c>
    </row>
    <row r="745" spans="1:17" ht="16.5" x14ac:dyDescent="0.5">
      <c r="A745" t="s">
        <v>1755</v>
      </c>
      <c r="B745" t="s">
        <v>1756</v>
      </c>
      <c r="C745" t="s">
        <v>782</v>
      </c>
      <c r="D745" t="s">
        <v>18</v>
      </c>
      <c r="E745" t="s">
        <v>43</v>
      </c>
      <c r="F745" s="1">
        <v>46023</v>
      </c>
      <c r="G745" s="1">
        <v>46136</v>
      </c>
      <c r="H745" s="1">
        <v>46023</v>
      </c>
      <c r="I745" s="1">
        <v>46133</v>
      </c>
      <c r="J745" s="2">
        <v>85741.53</v>
      </c>
      <c r="K745" s="2">
        <v>87451.83</v>
      </c>
      <c r="L745" s="2">
        <v>72784.77</v>
      </c>
      <c r="M745">
        <v>1644</v>
      </c>
      <c r="N745">
        <v>1678</v>
      </c>
      <c r="O745" t="s">
        <v>34</v>
      </c>
      <c r="P745" s="2">
        <f>Tabela1[[#This Row],[orcamento_aprovado]]-Tabela1[[#This Row],[custo_real_acumulado]]</f>
        <v>-1710.3000000000029</v>
      </c>
      <c r="Q745">
        <f>IF(Tabela1[[#This Row],[data_fim_real]]="","",Tabela1[[#This Row],[data_fim_real]]-Tabela1[[#This Row],[data_inicio_real]])</f>
        <v>110</v>
      </c>
    </row>
    <row r="746" spans="1:17" ht="16.5" x14ac:dyDescent="0.5">
      <c r="A746" t="s">
        <v>1757</v>
      </c>
      <c r="B746" t="s">
        <v>1758</v>
      </c>
      <c r="C746" t="s">
        <v>224</v>
      </c>
      <c r="D746" t="s">
        <v>18</v>
      </c>
      <c r="E746" t="s">
        <v>20</v>
      </c>
      <c r="F746" s="1">
        <v>46059</v>
      </c>
      <c r="G746" s="1">
        <v>46109</v>
      </c>
      <c r="H746" s="1">
        <v>46077</v>
      </c>
      <c r="I746" s="1"/>
      <c r="J746" s="2">
        <v>50000</v>
      </c>
      <c r="K746" s="2">
        <v>36829.67</v>
      </c>
      <c r="L746" s="2">
        <v>48197.53</v>
      </c>
      <c r="M746">
        <v>808</v>
      </c>
      <c r="N746">
        <v>664</v>
      </c>
      <c r="O746" t="s">
        <v>21</v>
      </c>
      <c r="P746" s="2">
        <f>Tabela1[[#This Row],[orcamento_aprovado]]-Tabela1[[#This Row],[custo_real_acumulado]]</f>
        <v>13170.330000000002</v>
      </c>
      <c r="Q746" t="str">
        <f>IF(Tabela1[[#This Row],[data_fim_real]]="","",Tabela1[[#This Row],[data_fim_real]]-Tabela1[[#This Row],[data_inicio_real]])</f>
        <v/>
      </c>
    </row>
    <row r="747" spans="1:17" ht="16.5" x14ac:dyDescent="0.5">
      <c r="A747" t="s">
        <v>1759</v>
      </c>
      <c r="B747" t="s">
        <v>1760</v>
      </c>
      <c r="C747" t="s">
        <v>70</v>
      </c>
      <c r="D747" t="s">
        <v>78</v>
      </c>
      <c r="E747" t="s">
        <v>43</v>
      </c>
      <c r="F747" s="1">
        <v>46370</v>
      </c>
      <c r="G747" s="1">
        <v>46387</v>
      </c>
      <c r="H747" s="1">
        <v>46369</v>
      </c>
      <c r="I747" s="1"/>
      <c r="J747" s="2">
        <v>158478.49</v>
      </c>
      <c r="K747" s="2">
        <v>48785.26</v>
      </c>
      <c r="L747" s="2">
        <v>87963.96</v>
      </c>
      <c r="M747">
        <v>347</v>
      </c>
      <c r="N747">
        <v>100</v>
      </c>
      <c r="O747" t="s">
        <v>26</v>
      </c>
      <c r="P747" s="2">
        <f>Tabela1[[#This Row],[orcamento_aprovado]]-Tabela1[[#This Row],[custo_real_acumulado]]</f>
        <v>109693.22999999998</v>
      </c>
      <c r="Q747" t="str">
        <f>IF(Tabela1[[#This Row],[data_fim_real]]="","",Tabela1[[#This Row],[data_fim_real]]-Tabela1[[#This Row],[data_inicio_real]])</f>
        <v/>
      </c>
    </row>
    <row r="748" spans="1:17" ht="16.5" x14ac:dyDescent="0.5">
      <c r="A748" t="s">
        <v>1761</v>
      </c>
      <c r="B748" t="s">
        <v>1762</v>
      </c>
      <c r="C748" t="s">
        <v>148</v>
      </c>
      <c r="D748" t="s">
        <v>33</v>
      </c>
      <c r="E748" t="s">
        <v>42</v>
      </c>
      <c r="F748" s="1">
        <v>46152</v>
      </c>
      <c r="G748" s="1">
        <v>46242</v>
      </c>
      <c r="H748" s="1">
        <v>46143</v>
      </c>
      <c r="I748" s="1">
        <v>46177</v>
      </c>
      <c r="J748" s="2">
        <v>190543.08</v>
      </c>
      <c r="K748" s="2">
        <v>140056.26999999999</v>
      </c>
      <c r="L748" s="2">
        <v>114251.25</v>
      </c>
      <c r="M748">
        <v>2379</v>
      </c>
      <c r="N748">
        <v>1462</v>
      </c>
      <c r="O748" t="s">
        <v>34</v>
      </c>
      <c r="P748" s="2">
        <f>Tabela1[[#This Row],[orcamento_aprovado]]-Tabela1[[#This Row],[custo_real_acumulado]]</f>
        <v>50486.81</v>
      </c>
      <c r="Q748">
        <f>IF(Tabela1[[#This Row],[data_fim_real]]="","",Tabela1[[#This Row],[data_fim_real]]-Tabela1[[#This Row],[data_inicio_real]])</f>
        <v>34</v>
      </c>
    </row>
    <row r="749" spans="1:17" ht="16.5" x14ac:dyDescent="0.5">
      <c r="A749" t="s">
        <v>1763</v>
      </c>
      <c r="B749" t="s">
        <v>1764</v>
      </c>
      <c r="C749" t="s">
        <v>135</v>
      </c>
      <c r="D749" t="s">
        <v>71</v>
      </c>
      <c r="E749" t="s">
        <v>43</v>
      </c>
      <c r="F749" s="1">
        <v>46037</v>
      </c>
      <c r="G749" s="1">
        <v>46073</v>
      </c>
      <c r="H749" s="1">
        <v>46057</v>
      </c>
      <c r="I749" s="1"/>
      <c r="J749" s="2">
        <v>81302.62</v>
      </c>
      <c r="K749" s="2">
        <v>41711.32</v>
      </c>
      <c r="L749" s="2">
        <v>119562.6</v>
      </c>
      <c r="M749">
        <v>916</v>
      </c>
      <c r="N749">
        <v>585</v>
      </c>
      <c r="O749" t="s">
        <v>21</v>
      </c>
      <c r="P749" s="2">
        <f>Tabela1[[#This Row],[orcamento_aprovado]]-Tabela1[[#This Row],[custo_real_acumulado]]</f>
        <v>39591.299999999996</v>
      </c>
      <c r="Q749" t="str">
        <f>IF(Tabela1[[#This Row],[data_fim_real]]="","",Tabela1[[#This Row],[data_fim_real]]-Tabela1[[#This Row],[data_inicio_real]])</f>
        <v/>
      </c>
    </row>
    <row r="750" spans="1:17" ht="16.5" x14ac:dyDescent="0.5">
      <c r="A750" t="s">
        <v>1765</v>
      </c>
      <c r="B750" t="s">
        <v>1766</v>
      </c>
      <c r="C750" t="s">
        <v>630</v>
      </c>
      <c r="D750" t="s">
        <v>71</v>
      </c>
      <c r="E750" t="s">
        <v>42</v>
      </c>
      <c r="F750" s="1">
        <v>46192</v>
      </c>
      <c r="G750" s="1">
        <v>46233</v>
      </c>
      <c r="H750" s="1">
        <v>46203</v>
      </c>
      <c r="I750" s="1"/>
      <c r="J750" s="2">
        <v>90840.85</v>
      </c>
      <c r="K750" s="2">
        <v>59588.34</v>
      </c>
      <c r="L750" s="2">
        <v>44665.42</v>
      </c>
      <c r="M750">
        <v>920</v>
      </c>
      <c r="N750">
        <v>673</v>
      </c>
      <c r="O750" t="s">
        <v>26</v>
      </c>
      <c r="P750" s="2">
        <f>Tabela1[[#This Row],[orcamento_aprovado]]-Tabela1[[#This Row],[custo_real_acumulado]]</f>
        <v>31252.510000000009</v>
      </c>
      <c r="Q750" t="str">
        <f>IF(Tabela1[[#This Row],[data_fim_real]]="","",Tabela1[[#This Row],[data_fim_real]]-Tabela1[[#This Row],[data_inicio_real]])</f>
        <v/>
      </c>
    </row>
    <row r="751" spans="1:17" ht="16.5" x14ac:dyDescent="0.5">
      <c r="A751" t="s">
        <v>1767</v>
      </c>
      <c r="B751" t="s">
        <v>1768</v>
      </c>
      <c r="C751" t="s">
        <v>64</v>
      </c>
      <c r="D751" t="s">
        <v>142</v>
      </c>
      <c r="E751" t="s">
        <v>20</v>
      </c>
      <c r="F751" s="1">
        <v>46250</v>
      </c>
      <c r="G751" s="1">
        <v>46387</v>
      </c>
      <c r="H751" s="1">
        <v>46256</v>
      </c>
      <c r="I751" s="1"/>
      <c r="J751" s="2">
        <v>126562.78</v>
      </c>
      <c r="K751" s="2">
        <v>105679.03999999999</v>
      </c>
      <c r="L751" s="2">
        <v>97775.27</v>
      </c>
      <c r="M751">
        <v>5921</v>
      </c>
      <c r="N751">
        <v>5127</v>
      </c>
      <c r="O751" t="s">
        <v>34</v>
      </c>
      <c r="P751" s="2">
        <f>Tabela1[[#This Row],[orcamento_aprovado]]-Tabela1[[#This Row],[custo_real_acumulado]]</f>
        <v>20883.740000000005</v>
      </c>
      <c r="Q751" t="str">
        <f>IF(Tabela1[[#This Row],[data_fim_real]]="","",Tabela1[[#This Row],[data_fim_real]]-Tabela1[[#This Row],[data_inicio_real]])</f>
        <v/>
      </c>
    </row>
    <row r="752" spans="1:17" ht="16.5" x14ac:dyDescent="0.5">
      <c r="A752" t="s">
        <v>1769</v>
      </c>
      <c r="B752" t="s">
        <v>1770</v>
      </c>
      <c r="C752" t="s">
        <v>622</v>
      </c>
      <c r="D752" t="s">
        <v>50</v>
      </c>
      <c r="E752" t="s">
        <v>43</v>
      </c>
      <c r="F752" s="1">
        <v>46308</v>
      </c>
      <c r="G752" s="1">
        <v>46322</v>
      </c>
      <c r="H752" s="1">
        <v>46321</v>
      </c>
      <c r="I752" s="1"/>
      <c r="J752" s="2">
        <v>65074.35</v>
      </c>
      <c r="K752" s="2">
        <v>36628.870000000003</v>
      </c>
      <c r="L752" s="2">
        <v>118672.76</v>
      </c>
      <c r="M752">
        <v>336</v>
      </c>
      <c r="N752">
        <v>222</v>
      </c>
      <c r="O752" t="s">
        <v>21</v>
      </c>
      <c r="P752" s="2">
        <f>Tabela1[[#This Row],[orcamento_aprovado]]-Tabela1[[#This Row],[custo_real_acumulado]]</f>
        <v>28445.479999999996</v>
      </c>
      <c r="Q752" t="str">
        <f>IF(Tabela1[[#This Row],[data_fim_real]]="","",Tabela1[[#This Row],[data_fim_real]]-Tabela1[[#This Row],[data_inicio_real]])</f>
        <v/>
      </c>
    </row>
    <row r="753" spans="1:17" ht="16.5" x14ac:dyDescent="0.5">
      <c r="A753" t="s">
        <v>1771</v>
      </c>
      <c r="B753" t="s">
        <v>1772</v>
      </c>
      <c r="C753" t="s">
        <v>1148</v>
      </c>
      <c r="D753" t="s">
        <v>18</v>
      </c>
      <c r="E753" t="s">
        <v>19</v>
      </c>
      <c r="F753" s="1">
        <v>46157</v>
      </c>
      <c r="G753" s="1">
        <v>46253</v>
      </c>
      <c r="H753" s="1">
        <v>46163</v>
      </c>
      <c r="I753" s="1">
        <v>46250</v>
      </c>
      <c r="J753" s="2">
        <v>53809.32</v>
      </c>
      <c r="K753" s="2">
        <v>1856.6</v>
      </c>
      <c r="L753" s="2">
        <v>87246.63</v>
      </c>
      <c r="M753">
        <v>2253</v>
      </c>
      <c r="N753">
        <v>86</v>
      </c>
      <c r="O753" t="s">
        <v>26</v>
      </c>
      <c r="P753" s="2">
        <f>Tabela1[[#This Row],[orcamento_aprovado]]-Tabela1[[#This Row],[custo_real_acumulado]]</f>
        <v>51952.72</v>
      </c>
      <c r="Q753">
        <f>IF(Tabela1[[#This Row],[data_fim_real]]="","",Tabela1[[#This Row],[data_fim_real]]-Tabela1[[#This Row],[data_inicio_real]])</f>
        <v>87</v>
      </c>
    </row>
    <row r="754" spans="1:17" ht="16.5" x14ac:dyDescent="0.5">
      <c r="A754" t="s">
        <v>1773</v>
      </c>
      <c r="B754" t="s">
        <v>1774</v>
      </c>
      <c r="C754" t="s">
        <v>745</v>
      </c>
      <c r="D754" t="s">
        <v>142</v>
      </c>
      <c r="E754" t="s">
        <v>43</v>
      </c>
      <c r="F754" s="1">
        <v>46186</v>
      </c>
      <c r="G754" s="1">
        <v>46200</v>
      </c>
      <c r="H754" s="1">
        <v>46187</v>
      </c>
      <c r="I754" s="1"/>
      <c r="J754" s="2">
        <v>197648.28</v>
      </c>
      <c r="K754" s="2">
        <v>193917.6</v>
      </c>
      <c r="L754" s="2">
        <v>160689.93</v>
      </c>
      <c r="M754">
        <v>307</v>
      </c>
      <c r="N754">
        <v>215</v>
      </c>
      <c r="O754" t="s">
        <v>34</v>
      </c>
      <c r="P754" s="2">
        <f>Tabela1[[#This Row],[orcamento_aprovado]]-Tabela1[[#This Row],[custo_real_acumulado]]</f>
        <v>3730.679999999993</v>
      </c>
      <c r="Q754" t="str">
        <f>IF(Tabela1[[#This Row],[data_fim_real]]="","",Tabela1[[#This Row],[data_fim_real]]-Tabela1[[#This Row],[data_inicio_real]])</f>
        <v/>
      </c>
    </row>
    <row r="755" spans="1:17" ht="16.5" x14ac:dyDescent="0.5">
      <c r="A755" t="s">
        <v>1775</v>
      </c>
      <c r="B755" t="s">
        <v>1776</v>
      </c>
      <c r="C755" t="s">
        <v>1273</v>
      </c>
      <c r="D755" t="s">
        <v>54</v>
      </c>
      <c r="E755" t="s">
        <v>19</v>
      </c>
      <c r="F755" s="1">
        <v>46060</v>
      </c>
      <c r="G755" s="1">
        <v>46159</v>
      </c>
      <c r="H755" s="1">
        <v>46066</v>
      </c>
      <c r="I755" s="1"/>
      <c r="J755" s="2">
        <v>166131.35999999999</v>
      </c>
      <c r="K755" s="2">
        <v>37183.410000000003</v>
      </c>
      <c r="L755" s="2">
        <v>125697.23</v>
      </c>
      <c r="M755">
        <v>3737</v>
      </c>
      <c r="N755">
        <v>976</v>
      </c>
      <c r="O755" t="s">
        <v>21</v>
      </c>
      <c r="P755" s="2">
        <f>Tabela1[[#This Row],[orcamento_aprovado]]-Tabela1[[#This Row],[custo_real_acumulado]]</f>
        <v>128947.94999999998</v>
      </c>
      <c r="Q755" t="str">
        <f>IF(Tabela1[[#This Row],[data_fim_real]]="","",Tabela1[[#This Row],[data_fim_real]]-Tabela1[[#This Row],[data_inicio_real]])</f>
        <v/>
      </c>
    </row>
    <row r="756" spans="1:17" ht="16.5" x14ac:dyDescent="0.5">
      <c r="A756" t="s">
        <v>1777</v>
      </c>
      <c r="B756" t="s">
        <v>1778</v>
      </c>
      <c r="C756" t="s">
        <v>700</v>
      </c>
      <c r="D756" t="s">
        <v>142</v>
      </c>
      <c r="E756" t="s">
        <v>19</v>
      </c>
      <c r="F756" s="1">
        <v>46088</v>
      </c>
      <c r="G756" s="1">
        <v>46173</v>
      </c>
      <c r="H756" s="1">
        <v>46088</v>
      </c>
      <c r="I756" s="1"/>
      <c r="J756" s="2">
        <v>62105.01</v>
      </c>
      <c r="K756" s="2">
        <v>59891.13</v>
      </c>
      <c r="L756" s="2">
        <v>135678.37</v>
      </c>
      <c r="M756">
        <v>4017</v>
      </c>
      <c r="N756">
        <v>3309</v>
      </c>
      <c r="O756" t="s">
        <v>26</v>
      </c>
      <c r="P756" s="2">
        <f>Tabela1[[#This Row],[orcamento_aprovado]]-Tabela1[[#This Row],[custo_real_acumulado]]</f>
        <v>2213.8800000000047</v>
      </c>
      <c r="Q756" t="str">
        <f>IF(Tabela1[[#This Row],[data_fim_real]]="","",Tabela1[[#This Row],[data_fim_real]]-Tabela1[[#This Row],[data_inicio_real]])</f>
        <v/>
      </c>
    </row>
    <row r="757" spans="1:17" ht="16.5" x14ac:dyDescent="0.5">
      <c r="A757" t="s">
        <v>1779</v>
      </c>
      <c r="B757" t="s">
        <v>1780</v>
      </c>
      <c r="C757" t="s">
        <v>474</v>
      </c>
      <c r="D757" t="s">
        <v>25</v>
      </c>
      <c r="E757" t="s">
        <v>43</v>
      </c>
      <c r="F757" s="1">
        <v>46043</v>
      </c>
      <c r="G757" s="1">
        <v>46083</v>
      </c>
      <c r="H757" s="1">
        <v>46041</v>
      </c>
      <c r="I757" s="1"/>
      <c r="J757" s="2">
        <v>50000</v>
      </c>
      <c r="K757" s="2">
        <v>20283.78</v>
      </c>
      <c r="L757" s="2">
        <v>15745.27</v>
      </c>
      <c r="M757">
        <v>401</v>
      </c>
      <c r="N757">
        <v>190</v>
      </c>
      <c r="O757" t="s">
        <v>34</v>
      </c>
      <c r="P757" s="2">
        <f>Tabela1[[#This Row],[orcamento_aprovado]]-Tabela1[[#This Row],[custo_real_acumulado]]</f>
        <v>29716.22</v>
      </c>
      <c r="Q757" t="str">
        <f>IF(Tabela1[[#This Row],[data_fim_real]]="","",Tabela1[[#This Row],[data_fim_real]]-Tabela1[[#This Row],[data_inicio_real]])</f>
        <v/>
      </c>
    </row>
    <row r="758" spans="1:17" ht="16.5" x14ac:dyDescent="0.5">
      <c r="A758" t="s">
        <v>1781</v>
      </c>
      <c r="B758" t="s">
        <v>1782</v>
      </c>
      <c r="C758" t="s">
        <v>519</v>
      </c>
      <c r="D758" t="s">
        <v>71</v>
      </c>
      <c r="E758" t="s">
        <v>19</v>
      </c>
      <c r="F758" s="1">
        <v>46332</v>
      </c>
      <c r="G758" s="1">
        <v>46382</v>
      </c>
      <c r="H758" s="1">
        <v>46329</v>
      </c>
      <c r="I758" s="1"/>
      <c r="J758" s="2">
        <v>61211.79</v>
      </c>
      <c r="K758" s="2">
        <v>25317.42</v>
      </c>
      <c r="L758" s="2">
        <v>52596.94</v>
      </c>
      <c r="M758">
        <v>1842</v>
      </c>
      <c r="N758">
        <v>817</v>
      </c>
      <c r="O758" t="s">
        <v>21</v>
      </c>
      <c r="P758" s="2">
        <f>Tabela1[[#This Row],[orcamento_aprovado]]-Tabela1[[#This Row],[custo_real_acumulado]]</f>
        <v>35894.370000000003</v>
      </c>
      <c r="Q758" t="str">
        <f>IF(Tabela1[[#This Row],[data_fim_real]]="","",Tabela1[[#This Row],[data_fim_real]]-Tabela1[[#This Row],[data_inicio_real]])</f>
        <v/>
      </c>
    </row>
    <row r="759" spans="1:17" ht="16.5" x14ac:dyDescent="0.5">
      <c r="A759" t="s">
        <v>1783</v>
      </c>
      <c r="B759" t="s">
        <v>1784</v>
      </c>
      <c r="C759" t="s">
        <v>282</v>
      </c>
      <c r="D759" t="s">
        <v>78</v>
      </c>
      <c r="E759" t="s">
        <v>43</v>
      </c>
      <c r="F759" s="1">
        <v>46201</v>
      </c>
      <c r="G759" s="1">
        <v>46224</v>
      </c>
      <c r="H759" s="1">
        <v>46209</v>
      </c>
      <c r="I759" s="1">
        <v>46222</v>
      </c>
      <c r="J759" s="2">
        <v>446581.52</v>
      </c>
      <c r="K759" s="2">
        <v>510722.07</v>
      </c>
      <c r="L759" s="2">
        <v>570909.80000000005</v>
      </c>
      <c r="M759">
        <v>219</v>
      </c>
      <c r="N759">
        <v>238</v>
      </c>
      <c r="O759" t="s">
        <v>26</v>
      </c>
      <c r="P759" s="2">
        <f>Tabela1[[#This Row],[orcamento_aprovado]]-Tabela1[[#This Row],[custo_real_acumulado]]</f>
        <v>-64140.549999999988</v>
      </c>
      <c r="Q759">
        <f>IF(Tabela1[[#This Row],[data_fim_real]]="","",Tabela1[[#This Row],[data_fim_real]]-Tabela1[[#This Row],[data_inicio_real]])</f>
        <v>13</v>
      </c>
    </row>
    <row r="760" spans="1:17" ht="16.5" x14ac:dyDescent="0.5">
      <c r="A760" t="s">
        <v>1785</v>
      </c>
      <c r="B760" t="s">
        <v>1786</v>
      </c>
      <c r="C760" t="s">
        <v>265</v>
      </c>
      <c r="D760" t="s">
        <v>58</v>
      </c>
      <c r="E760" t="s">
        <v>19</v>
      </c>
      <c r="F760" s="1">
        <v>46289</v>
      </c>
      <c r="G760" s="1">
        <v>46361</v>
      </c>
      <c r="H760" s="1">
        <v>46297</v>
      </c>
      <c r="I760" s="1"/>
      <c r="J760" s="2">
        <v>50000</v>
      </c>
      <c r="K760" s="2">
        <v>18722.560000000001</v>
      </c>
      <c r="L760" s="2">
        <v>77879.600000000006</v>
      </c>
      <c r="M760">
        <v>1388</v>
      </c>
      <c r="N760">
        <v>661</v>
      </c>
      <c r="O760" t="s">
        <v>34</v>
      </c>
      <c r="P760" s="2">
        <f>Tabela1[[#This Row],[orcamento_aprovado]]-Tabela1[[#This Row],[custo_real_acumulado]]</f>
        <v>31277.439999999999</v>
      </c>
      <c r="Q760" t="str">
        <f>IF(Tabela1[[#This Row],[data_fim_real]]="","",Tabela1[[#This Row],[data_fim_real]]-Tabela1[[#This Row],[data_inicio_real]])</f>
        <v/>
      </c>
    </row>
    <row r="761" spans="1:17" ht="16.5" x14ac:dyDescent="0.5">
      <c r="A761" t="s">
        <v>1787</v>
      </c>
      <c r="B761" t="s">
        <v>1788</v>
      </c>
      <c r="C761" t="s">
        <v>369</v>
      </c>
      <c r="D761" t="s">
        <v>78</v>
      </c>
      <c r="E761" t="s">
        <v>43</v>
      </c>
      <c r="F761" s="1">
        <v>46215</v>
      </c>
      <c r="G761" s="1">
        <v>46266</v>
      </c>
      <c r="H761" s="1">
        <v>46220</v>
      </c>
      <c r="I761" s="1"/>
      <c r="J761" s="2">
        <v>121721.21</v>
      </c>
      <c r="K761" s="2">
        <v>84038.86</v>
      </c>
      <c r="L761" s="2">
        <v>112188.01</v>
      </c>
      <c r="M761">
        <v>2150</v>
      </c>
      <c r="N761">
        <v>1678</v>
      </c>
      <c r="O761" t="s">
        <v>21</v>
      </c>
      <c r="P761" s="2">
        <f>Tabela1[[#This Row],[orcamento_aprovado]]-Tabela1[[#This Row],[custo_real_acumulado]]</f>
        <v>37682.350000000006</v>
      </c>
      <c r="Q761" t="str">
        <f>IF(Tabela1[[#This Row],[data_fim_real]]="","",Tabela1[[#This Row],[data_fim_real]]-Tabela1[[#This Row],[data_inicio_real]])</f>
        <v/>
      </c>
    </row>
    <row r="762" spans="1:17" ht="16.5" x14ac:dyDescent="0.5">
      <c r="A762" t="s">
        <v>1789</v>
      </c>
      <c r="B762" t="s">
        <v>1790</v>
      </c>
      <c r="C762" t="s">
        <v>425</v>
      </c>
      <c r="D762" t="s">
        <v>78</v>
      </c>
      <c r="E762" t="s">
        <v>42</v>
      </c>
      <c r="F762" s="1">
        <v>46246</v>
      </c>
      <c r="G762" s="1">
        <v>46270</v>
      </c>
      <c r="H762" s="1">
        <v>46257</v>
      </c>
      <c r="I762" s="1"/>
      <c r="J762" s="2">
        <v>50000</v>
      </c>
      <c r="K762" s="2">
        <v>56770.559999999998</v>
      </c>
      <c r="L762" s="2">
        <v>23674.34</v>
      </c>
      <c r="M762">
        <v>754</v>
      </c>
      <c r="N762">
        <v>659</v>
      </c>
      <c r="O762" t="s">
        <v>26</v>
      </c>
      <c r="P762" s="2">
        <f>Tabela1[[#This Row],[orcamento_aprovado]]-Tabela1[[#This Row],[custo_real_acumulado]]</f>
        <v>-6770.5599999999977</v>
      </c>
      <c r="Q762" t="str">
        <f>IF(Tabela1[[#This Row],[data_fim_real]]="","",Tabela1[[#This Row],[data_fim_real]]-Tabela1[[#This Row],[data_inicio_real]])</f>
        <v/>
      </c>
    </row>
    <row r="763" spans="1:17" ht="16.5" x14ac:dyDescent="0.5">
      <c r="A763" t="s">
        <v>1791</v>
      </c>
      <c r="B763" t="s">
        <v>1792</v>
      </c>
      <c r="C763" t="s">
        <v>1485</v>
      </c>
      <c r="D763" t="s">
        <v>78</v>
      </c>
      <c r="E763" t="s">
        <v>19</v>
      </c>
      <c r="F763" s="1">
        <v>46361</v>
      </c>
      <c r="G763" s="1">
        <v>46387</v>
      </c>
      <c r="H763" s="1">
        <v>46367</v>
      </c>
      <c r="I763" s="1"/>
      <c r="J763" s="2">
        <v>433189.46</v>
      </c>
      <c r="K763" s="2">
        <v>195074.43</v>
      </c>
      <c r="L763" s="2">
        <v>646534.26</v>
      </c>
      <c r="M763">
        <v>609</v>
      </c>
      <c r="N763">
        <v>230</v>
      </c>
      <c r="O763" t="s">
        <v>34</v>
      </c>
      <c r="P763" s="2">
        <f>Tabela1[[#This Row],[orcamento_aprovado]]-Tabela1[[#This Row],[custo_real_acumulado]]</f>
        <v>238115.03000000003</v>
      </c>
      <c r="Q763" t="str">
        <f>IF(Tabela1[[#This Row],[data_fim_real]]="","",Tabela1[[#This Row],[data_fim_real]]-Tabela1[[#This Row],[data_inicio_real]])</f>
        <v/>
      </c>
    </row>
    <row r="764" spans="1:17" ht="16.5" x14ac:dyDescent="0.5">
      <c r="A764" t="s">
        <v>1793</v>
      </c>
      <c r="B764" t="s">
        <v>1794</v>
      </c>
      <c r="C764" t="s">
        <v>41</v>
      </c>
      <c r="D764" t="s">
        <v>25</v>
      </c>
      <c r="E764" t="s">
        <v>42</v>
      </c>
      <c r="F764" s="1">
        <v>46322</v>
      </c>
      <c r="G764" s="1">
        <v>46357</v>
      </c>
      <c r="H764" s="1">
        <v>46323</v>
      </c>
      <c r="I764" s="1"/>
      <c r="J764" s="2">
        <v>169144.21</v>
      </c>
      <c r="K764" s="2">
        <v>143806.66</v>
      </c>
      <c r="L764" s="2">
        <v>225153.33</v>
      </c>
      <c r="M764">
        <v>317</v>
      </c>
      <c r="N764">
        <v>333</v>
      </c>
      <c r="O764" t="s">
        <v>21</v>
      </c>
      <c r="P764" s="2">
        <f>Tabela1[[#This Row],[orcamento_aprovado]]-Tabela1[[#This Row],[custo_real_acumulado]]</f>
        <v>25337.549999999988</v>
      </c>
      <c r="Q764" t="str">
        <f>IF(Tabela1[[#This Row],[data_fim_real]]="","",Tabela1[[#This Row],[data_fim_real]]-Tabela1[[#This Row],[data_inicio_real]])</f>
        <v/>
      </c>
    </row>
    <row r="765" spans="1:17" ht="16.5" x14ac:dyDescent="0.5">
      <c r="A765" t="s">
        <v>1795</v>
      </c>
      <c r="B765" t="s">
        <v>1796</v>
      </c>
      <c r="C765" t="s">
        <v>543</v>
      </c>
      <c r="D765" t="s">
        <v>71</v>
      </c>
      <c r="E765" t="s">
        <v>20</v>
      </c>
      <c r="F765" s="1">
        <v>46107</v>
      </c>
      <c r="G765" s="1">
        <v>46149</v>
      </c>
      <c r="H765" s="1">
        <v>46108</v>
      </c>
      <c r="I765" s="1"/>
      <c r="J765" s="2">
        <v>503579.94</v>
      </c>
      <c r="K765" s="2">
        <v>350650.62</v>
      </c>
      <c r="L765" s="2">
        <v>206612.83</v>
      </c>
      <c r="M765">
        <v>828</v>
      </c>
      <c r="N765">
        <v>585</v>
      </c>
      <c r="O765" t="s">
        <v>26</v>
      </c>
      <c r="P765" s="2">
        <f>Tabela1[[#This Row],[orcamento_aprovado]]-Tabela1[[#This Row],[custo_real_acumulado]]</f>
        <v>152929.32</v>
      </c>
      <c r="Q765" t="str">
        <f>IF(Tabela1[[#This Row],[data_fim_real]]="","",Tabela1[[#This Row],[data_fim_real]]-Tabela1[[#This Row],[data_inicio_real]])</f>
        <v/>
      </c>
    </row>
    <row r="766" spans="1:17" ht="16.5" x14ac:dyDescent="0.5">
      <c r="A766" t="s">
        <v>1797</v>
      </c>
      <c r="B766" t="s">
        <v>1798</v>
      </c>
      <c r="C766" t="s">
        <v>756</v>
      </c>
      <c r="D766" t="s">
        <v>18</v>
      </c>
      <c r="E766" t="s">
        <v>19</v>
      </c>
      <c r="F766" s="1">
        <v>46217</v>
      </c>
      <c r="G766" s="1">
        <v>46252</v>
      </c>
      <c r="H766" s="1">
        <v>46226</v>
      </c>
      <c r="I766" s="1"/>
      <c r="J766" s="2">
        <v>78929.460000000006</v>
      </c>
      <c r="K766" s="2">
        <v>5886.86</v>
      </c>
      <c r="L766" s="2">
        <v>167860.82</v>
      </c>
      <c r="M766">
        <v>1484</v>
      </c>
      <c r="N766">
        <v>156</v>
      </c>
      <c r="O766" t="s">
        <v>34</v>
      </c>
      <c r="P766" s="2">
        <f>Tabela1[[#This Row],[orcamento_aprovado]]-Tabela1[[#This Row],[custo_real_acumulado]]</f>
        <v>73042.600000000006</v>
      </c>
      <c r="Q766" t="str">
        <f>IF(Tabela1[[#This Row],[data_fim_real]]="","",Tabela1[[#This Row],[data_fim_real]]-Tabela1[[#This Row],[data_inicio_real]])</f>
        <v/>
      </c>
    </row>
    <row r="767" spans="1:17" ht="16.5" x14ac:dyDescent="0.5">
      <c r="A767" t="s">
        <v>1799</v>
      </c>
      <c r="B767" t="s">
        <v>1800</v>
      </c>
      <c r="C767" t="s">
        <v>1550</v>
      </c>
      <c r="D767" t="s">
        <v>38</v>
      </c>
      <c r="E767" t="s">
        <v>43</v>
      </c>
      <c r="F767" s="1">
        <v>46372</v>
      </c>
      <c r="G767" s="1">
        <v>46387</v>
      </c>
      <c r="H767" s="1">
        <v>46367</v>
      </c>
      <c r="I767" s="1"/>
      <c r="J767" s="2">
        <v>50000</v>
      </c>
      <c r="K767" s="2">
        <v>26981.69</v>
      </c>
      <c r="L767" s="2">
        <v>43556.160000000003</v>
      </c>
      <c r="M767">
        <v>133</v>
      </c>
      <c r="N767">
        <v>70</v>
      </c>
      <c r="O767" t="s">
        <v>21</v>
      </c>
      <c r="P767" s="2">
        <f>Tabela1[[#This Row],[orcamento_aprovado]]-Tabela1[[#This Row],[custo_real_acumulado]]</f>
        <v>23018.31</v>
      </c>
      <c r="Q767" t="str">
        <f>IF(Tabela1[[#This Row],[data_fim_real]]="","",Tabela1[[#This Row],[data_fim_real]]-Tabela1[[#This Row],[data_inicio_real]])</f>
        <v/>
      </c>
    </row>
    <row r="768" spans="1:17" ht="16.5" x14ac:dyDescent="0.5">
      <c r="A768" t="s">
        <v>1801</v>
      </c>
      <c r="B768" t="s">
        <v>1802</v>
      </c>
      <c r="C768" t="s">
        <v>205</v>
      </c>
      <c r="D768" t="s">
        <v>142</v>
      </c>
      <c r="E768" t="s">
        <v>43</v>
      </c>
      <c r="F768" s="1">
        <v>46315</v>
      </c>
      <c r="G768" s="1">
        <v>46387</v>
      </c>
      <c r="H768" s="1">
        <v>46319</v>
      </c>
      <c r="I768" s="1"/>
      <c r="J768" s="2">
        <v>50000</v>
      </c>
      <c r="K768" s="2">
        <v>29415.01</v>
      </c>
      <c r="L768" s="2">
        <v>65113.88</v>
      </c>
      <c r="M768">
        <v>757</v>
      </c>
      <c r="N768">
        <v>520</v>
      </c>
      <c r="O768" t="s">
        <v>26</v>
      </c>
      <c r="P768" s="2">
        <f>Tabela1[[#This Row],[orcamento_aprovado]]-Tabela1[[#This Row],[custo_real_acumulado]]</f>
        <v>20584.990000000002</v>
      </c>
      <c r="Q768" t="str">
        <f>IF(Tabela1[[#This Row],[data_fim_real]]="","",Tabela1[[#This Row],[data_fim_real]]-Tabela1[[#This Row],[data_inicio_real]])</f>
        <v/>
      </c>
    </row>
    <row r="769" spans="1:17" ht="16.5" x14ac:dyDescent="0.5">
      <c r="A769" t="s">
        <v>1803</v>
      </c>
      <c r="B769" t="s">
        <v>1804</v>
      </c>
      <c r="C769" t="s">
        <v>97</v>
      </c>
      <c r="D769" t="s">
        <v>78</v>
      </c>
      <c r="E769" t="s">
        <v>20</v>
      </c>
      <c r="F769" s="1">
        <v>46294</v>
      </c>
      <c r="G769" s="1">
        <v>46363</v>
      </c>
      <c r="H769" s="1">
        <v>46274</v>
      </c>
      <c r="I769" s="1"/>
      <c r="J769" s="2">
        <v>332857.28000000003</v>
      </c>
      <c r="K769" s="2">
        <v>203491.3</v>
      </c>
      <c r="L769" s="2">
        <v>469787.65</v>
      </c>
      <c r="M769">
        <v>3428</v>
      </c>
      <c r="N769">
        <v>1875</v>
      </c>
      <c r="O769" t="s">
        <v>34</v>
      </c>
      <c r="P769" s="2">
        <f>Tabela1[[#This Row],[orcamento_aprovado]]-Tabela1[[#This Row],[custo_real_acumulado]]</f>
        <v>129365.98000000004</v>
      </c>
      <c r="Q769" t="str">
        <f>IF(Tabela1[[#This Row],[data_fim_real]]="","",Tabela1[[#This Row],[data_fim_real]]-Tabela1[[#This Row],[data_inicio_real]])</f>
        <v/>
      </c>
    </row>
    <row r="770" spans="1:17" ht="16.5" x14ac:dyDescent="0.5">
      <c r="A770" t="s">
        <v>1805</v>
      </c>
      <c r="B770" t="s">
        <v>1806</v>
      </c>
      <c r="C770" t="s">
        <v>788</v>
      </c>
      <c r="D770" t="s">
        <v>71</v>
      </c>
      <c r="E770" t="s">
        <v>43</v>
      </c>
      <c r="F770" s="1">
        <v>46232</v>
      </c>
      <c r="G770" s="1">
        <v>46346</v>
      </c>
      <c r="H770" s="1">
        <v>46242</v>
      </c>
      <c r="I770" s="1"/>
      <c r="J770" s="2">
        <v>59671.69</v>
      </c>
      <c r="K770" s="2">
        <v>37408.339999999997</v>
      </c>
      <c r="L770" s="2">
        <v>56400.08</v>
      </c>
      <c r="M770">
        <v>1816</v>
      </c>
      <c r="N770">
        <v>1461</v>
      </c>
      <c r="O770" t="s">
        <v>21</v>
      </c>
      <c r="P770" s="2">
        <f>Tabela1[[#This Row],[orcamento_aprovado]]-Tabela1[[#This Row],[custo_real_acumulado]]</f>
        <v>22263.350000000006</v>
      </c>
      <c r="Q770" t="str">
        <f>IF(Tabela1[[#This Row],[data_fim_real]]="","",Tabela1[[#This Row],[data_fim_real]]-Tabela1[[#This Row],[data_inicio_real]])</f>
        <v/>
      </c>
    </row>
    <row r="771" spans="1:17" ht="16.5" x14ac:dyDescent="0.5">
      <c r="A771" t="s">
        <v>1807</v>
      </c>
      <c r="B771" t="s">
        <v>1808</v>
      </c>
      <c r="C771" t="s">
        <v>1094</v>
      </c>
      <c r="D771" t="s">
        <v>54</v>
      </c>
      <c r="E771" t="s">
        <v>20</v>
      </c>
      <c r="F771" s="1">
        <v>46074</v>
      </c>
      <c r="G771" s="1">
        <v>46139</v>
      </c>
      <c r="H771" s="1">
        <v>46074</v>
      </c>
      <c r="I771" s="1"/>
      <c r="J771" s="2">
        <v>122763.42</v>
      </c>
      <c r="K771" s="2">
        <v>94115.25</v>
      </c>
      <c r="L771" s="2">
        <v>220236.12</v>
      </c>
      <c r="M771">
        <v>2081</v>
      </c>
      <c r="N771">
        <v>1481</v>
      </c>
      <c r="O771" t="s">
        <v>26</v>
      </c>
      <c r="P771" s="2">
        <f>Tabela1[[#This Row],[orcamento_aprovado]]-Tabela1[[#This Row],[custo_real_acumulado]]</f>
        <v>28648.17</v>
      </c>
      <c r="Q771" t="str">
        <f>IF(Tabela1[[#This Row],[data_fim_real]]="","",Tabela1[[#This Row],[data_fim_real]]-Tabela1[[#This Row],[data_inicio_real]])</f>
        <v/>
      </c>
    </row>
    <row r="772" spans="1:17" ht="16.5" x14ac:dyDescent="0.5">
      <c r="A772" t="s">
        <v>1809</v>
      </c>
      <c r="B772" t="s">
        <v>1810</v>
      </c>
      <c r="C772" t="s">
        <v>309</v>
      </c>
      <c r="D772" t="s">
        <v>54</v>
      </c>
      <c r="E772" t="s">
        <v>43</v>
      </c>
      <c r="F772" s="1">
        <v>46092</v>
      </c>
      <c r="G772" s="1">
        <v>46114</v>
      </c>
      <c r="H772" s="1">
        <v>46092</v>
      </c>
      <c r="I772" s="1"/>
      <c r="J772" s="2">
        <v>168644.92</v>
      </c>
      <c r="K772" s="2">
        <v>103354.94</v>
      </c>
      <c r="L772" s="2">
        <v>191752.58</v>
      </c>
      <c r="M772">
        <v>1010</v>
      </c>
      <c r="N772">
        <v>499</v>
      </c>
      <c r="O772" t="s">
        <v>34</v>
      </c>
      <c r="P772" s="2">
        <f>Tabela1[[#This Row],[orcamento_aprovado]]-Tabela1[[#This Row],[custo_real_acumulado]]</f>
        <v>65289.98000000001</v>
      </c>
      <c r="Q772" t="str">
        <f>IF(Tabela1[[#This Row],[data_fim_real]]="","",Tabela1[[#This Row],[data_fim_real]]-Tabela1[[#This Row],[data_inicio_real]])</f>
        <v/>
      </c>
    </row>
    <row r="773" spans="1:17" ht="16.5" x14ac:dyDescent="0.5">
      <c r="A773" t="s">
        <v>1811</v>
      </c>
      <c r="B773" t="s">
        <v>1812</v>
      </c>
      <c r="C773" t="s">
        <v>361</v>
      </c>
      <c r="D773" t="s">
        <v>18</v>
      </c>
      <c r="E773" t="s">
        <v>20</v>
      </c>
      <c r="F773" s="1">
        <v>46023</v>
      </c>
      <c r="G773" s="1">
        <v>46130</v>
      </c>
      <c r="H773" s="1"/>
      <c r="I773" s="1"/>
      <c r="J773" s="2">
        <v>64455.54</v>
      </c>
      <c r="K773" s="2">
        <v>0</v>
      </c>
      <c r="L773" s="2">
        <v>101807.49</v>
      </c>
      <c r="M773">
        <v>2694</v>
      </c>
      <c r="N773">
        <v>0</v>
      </c>
      <c r="O773" t="s">
        <v>21</v>
      </c>
      <c r="P773" s="2">
        <f>Tabela1[[#This Row],[orcamento_aprovado]]-Tabela1[[#This Row],[custo_real_acumulado]]</f>
        <v>64455.54</v>
      </c>
      <c r="Q773" t="str">
        <f>IF(Tabela1[[#This Row],[data_fim_real]]="","",Tabela1[[#This Row],[data_fim_real]]-Tabela1[[#This Row],[data_inicio_real]])</f>
        <v/>
      </c>
    </row>
    <row r="774" spans="1:17" ht="16.5" x14ac:dyDescent="0.5">
      <c r="A774" t="s">
        <v>1813</v>
      </c>
      <c r="B774" t="s">
        <v>1814</v>
      </c>
      <c r="C774" t="s">
        <v>81</v>
      </c>
      <c r="D774" t="s">
        <v>38</v>
      </c>
      <c r="E774" t="s">
        <v>43</v>
      </c>
      <c r="F774" s="1">
        <v>46041</v>
      </c>
      <c r="G774" s="1">
        <v>46055</v>
      </c>
      <c r="H774" s="1">
        <v>46055</v>
      </c>
      <c r="I774" s="1"/>
      <c r="J774" s="2">
        <v>50000</v>
      </c>
      <c r="K774" s="2">
        <v>22911.84</v>
      </c>
      <c r="L774" s="2">
        <v>107459.77</v>
      </c>
      <c r="M774">
        <v>405</v>
      </c>
      <c r="N774">
        <v>182</v>
      </c>
      <c r="O774" t="s">
        <v>26</v>
      </c>
      <c r="P774" s="2">
        <f>Tabela1[[#This Row],[orcamento_aprovado]]-Tabela1[[#This Row],[custo_real_acumulado]]</f>
        <v>27088.16</v>
      </c>
      <c r="Q774" t="str">
        <f>IF(Tabela1[[#This Row],[data_fim_real]]="","",Tabela1[[#This Row],[data_fim_real]]-Tabela1[[#This Row],[data_inicio_real]])</f>
        <v/>
      </c>
    </row>
    <row r="775" spans="1:17" ht="16.5" x14ac:dyDescent="0.5">
      <c r="A775" t="s">
        <v>1815</v>
      </c>
      <c r="B775" t="s">
        <v>1816</v>
      </c>
      <c r="C775" t="s">
        <v>296</v>
      </c>
      <c r="D775" t="s">
        <v>71</v>
      </c>
      <c r="E775" t="s">
        <v>19</v>
      </c>
      <c r="F775" s="1">
        <v>46325</v>
      </c>
      <c r="G775" s="1">
        <v>46387</v>
      </c>
      <c r="H775" s="1">
        <v>46325</v>
      </c>
      <c r="I775" s="1"/>
      <c r="J775" s="2">
        <v>51649.17</v>
      </c>
      <c r="K775" s="2">
        <v>19033.05</v>
      </c>
      <c r="L775" s="2">
        <v>49248.78</v>
      </c>
      <c r="M775">
        <v>1183</v>
      </c>
      <c r="N775">
        <v>479</v>
      </c>
      <c r="O775" t="s">
        <v>34</v>
      </c>
      <c r="P775" s="2">
        <f>Tabela1[[#This Row],[orcamento_aprovado]]-Tabela1[[#This Row],[custo_real_acumulado]]</f>
        <v>32616.12</v>
      </c>
      <c r="Q775" t="str">
        <f>IF(Tabela1[[#This Row],[data_fim_real]]="","",Tabela1[[#This Row],[data_fim_real]]-Tabela1[[#This Row],[data_inicio_real]])</f>
        <v/>
      </c>
    </row>
    <row r="776" spans="1:17" ht="16.5" x14ac:dyDescent="0.5">
      <c r="A776" t="s">
        <v>1817</v>
      </c>
      <c r="B776" t="s">
        <v>1818</v>
      </c>
      <c r="C776" t="s">
        <v>301</v>
      </c>
      <c r="D776" t="s">
        <v>71</v>
      </c>
      <c r="E776" t="s">
        <v>43</v>
      </c>
      <c r="F776" s="1">
        <v>46097</v>
      </c>
      <c r="G776" s="1">
        <v>46203</v>
      </c>
      <c r="H776" s="1">
        <v>46105</v>
      </c>
      <c r="I776" s="1"/>
      <c r="J776" s="2">
        <v>181849.47</v>
      </c>
      <c r="K776" s="2">
        <v>92426.29</v>
      </c>
      <c r="L776" s="2">
        <v>391195.22</v>
      </c>
      <c r="M776">
        <v>2669</v>
      </c>
      <c r="N776">
        <v>1436</v>
      </c>
      <c r="O776" t="s">
        <v>21</v>
      </c>
      <c r="P776" s="2">
        <f>Tabela1[[#This Row],[orcamento_aprovado]]-Tabela1[[#This Row],[custo_real_acumulado]]</f>
        <v>89423.180000000008</v>
      </c>
      <c r="Q776" t="str">
        <f>IF(Tabela1[[#This Row],[data_fim_real]]="","",Tabela1[[#This Row],[data_fim_real]]-Tabela1[[#This Row],[data_inicio_real]])</f>
        <v/>
      </c>
    </row>
    <row r="777" spans="1:17" ht="16.5" x14ac:dyDescent="0.5">
      <c r="A777" t="s">
        <v>1819</v>
      </c>
      <c r="B777" t="s">
        <v>1820</v>
      </c>
      <c r="C777" t="s">
        <v>592</v>
      </c>
      <c r="D777" t="s">
        <v>50</v>
      </c>
      <c r="E777" t="s">
        <v>20</v>
      </c>
      <c r="F777" s="1">
        <v>46192</v>
      </c>
      <c r="G777" s="1">
        <v>46253</v>
      </c>
      <c r="H777" s="1">
        <v>46188</v>
      </c>
      <c r="I777" s="1">
        <v>46267</v>
      </c>
      <c r="J777" s="2">
        <v>108518.95</v>
      </c>
      <c r="K777" s="2">
        <v>129009.36</v>
      </c>
      <c r="L777" s="2">
        <v>143909.68</v>
      </c>
      <c r="M777">
        <v>1378</v>
      </c>
      <c r="N777">
        <v>1124</v>
      </c>
      <c r="O777" t="s">
        <v>26</v>
      </c>
      <c r="P777" s="2">
        <f>Tabela1[[#This Row],[orcamento_aprovado]]-Tabela1[[#This Row],[custo_real_acumulado]]</f>
        <v>-20490.410000000003</v>
      </c>
      <c r="Q777">
        <f>IF(Tabela1[[#This Row],[data_fim_real]]="","",Tabela1[[#This Row],[data_fim_real]]-Tabela1[[#This Row],[data_inicio_real]])</f>
        <v>79</v>
      </c>
    </row>
    <row r="778" spans="1:17" ht="16.5" x14ac:dyDescent="0.5">
      <c r="A778" t="s">
        <v>1821</v>
      </c>
      <c r="B778" t="s">
        <v>1822</v>
      </c>
      <c r="C778" t="s">
        <v>389</v>
      </c>
      <c r="D778" t="s">
        <v>33</v>
      </c>
      <c r="E778" t="s">
        <v>43</v>
      </c>
      <c r="F778" s="1">
        <v>46190</v>
      </c>
      <c r="G778" s="1">
        <v>46332</v>
      </c>
      <c r="H778" s="1">
        <v>46188</v>
      </c>
      <c r="I778" s="1"/>
      <c r="J778" s="2">
        <v>50000</v>
      </c>
      <c r="K778" s="2">
        <v>24353.64</v>
      </c>
      <c r="L778" s="2">
        <v>24392.3</v>
      </c>
      <c r="M778">
        <v>9199</v>
      </c>
      <c r="N778">
        <v>4377</v>
      </c>
      <c r="O778" t="s">
        <v>34</v>
      </c>
      <c r="P778" s="2">
        <f>Tabela1[[#This Row],[orcamento_aprovado]]-Tabela1[[#This Row],[custo_real_acumulado]]</f>
        <v>25646.36</v>
      </c>
      <c r="Q778" t="str">
        <f>IF(Tabela1[[#This Row],[data_fim_real]]="","",Tabela1[[#This Row],[data_fim_real]]-Tabela1[[#This Row],[data_inicio_real]])</f>
        <v/>
      </c>
    </row>
    <row r="779" spans="1:17" ht="16.5" x14ac:dyDescent="0.5">
      <c r="A779" t="s">
        <v>1823</v>
      </c>
      <c r="B779" t="s">
        <v>1824</v>
      </c>
      <c r="C779" t="s">
        <v>1627</v>
      </c>
      <c r="D779" t="s">
        <v>71</v>
      </c>
      <c r="E779" t="s">
        <v>20</v>
      </c>
      <c r="F779" s="1">
        <v>46164</v>
      </c>
      <c r="G779" s="1">
        <v>46209</v>
      </c>
      <c r="H779" s="1">
        <v>46171</v>
      </c>
      <c r="I779" s="1"/>
      <c r="J779" s="2">
        <v>80387.37</v>
      </c>
      <c r="K779" s="2">
        <v>51654.86</v>
      </c>
      <c r="L779" s="2">
        <v>109728.13</v>
      </c>
      <c r="M779">
        <v>1100</v>
      </c>
      <c r="N779">
        <v>584</v>
      </c>
      <c r="O779" t="s">
        <v>21</v>
      </c>
      <c r="P779" s="2">
        <f>Tabela1[[#This Row],[orcamento_aprovado]]-Tabela1[[#This Row],[custo_real_acumulado]]</f>
        <v>28732.509999999995</v>
      </c>
      <c r="Q779" t="str">
        <f>IF(Tabela1[[#This Row],[data_fim_real]]="","",Tabela1[[#This Row],[data_fim_real]]-Tabela1[[#This Row],[data_inicio_real]])</f>
        <v/>
      </c>
    </row>
    <row r="780" spans="1:17" ht="16.5" x14ac:dyDescent="0.5">
      <c r="A780" t="s">
        <v>1825</v>
      </c>
      <c r="B780" t="s">
        <v>1826</v>
      </c>
      <c r="C780" t="s">
        <v>1080</v>
      </c>
      <c r="D780" t="s">
        <v>78</v>
      </c>
      <c r="E780" t="s">
        <v>20</v>
      </c>
      <c r="F780" s="1">
        <v>46270</v>
      </c>
      <c r="G780" s="1">
        <v>46373</v>
      </c>
      <c r="H780" s="1">
        <v>46285</v>
      </c>
      <c r="I780" s="1">
        <v>46361</v>
      </c>
      <c r="J780" s="2">
        <v>244346.14</v>
      </c>
      <c r="K780" s="2">
        <v>297095.17</v>
      </c>
      <c r="L780" s="2">
        <v>386418.28</v>
      </c>
      <c r="M780">
        <v>4057</v>
      </c>
      <c r="N780">
        <v>4571</v>
      </c>
      <c r="O780" t="s">
        <v>26</v>
      </c>
      <c r="P780" s="2">
        <f>Tabela1[[#This Row],[orcamento_aprovado]]-Tabela1[[#This Row],[custo_real_acumulado]]</f>
        <v>-52749.02999999997</v>
      </c>
      <c r="Q780">
        <f>IF(Tabela1[[#This Row],[data_fim_real]]="","",Tabela1[[#This Row],[data_fim_real]]-Tabela1[[#This Row],[data_inicio_real]])</f>
        <v>76</v>
      </c>
    </row>
    <row r="781" spans="1:17" ht="16.5" x14ac:dyDescent="0.5">
      <c r="A781" t="s">
        <v>1827</v>
      </c>
      <c r="B781" t="s">
        <v>1828</v>
      </c>
      <c r="C781" t="s">
        <v>352</v>
      </c>
      <c r="D781" t="s">
        <v>33</v>
      </c>
      <c r="E781" t="s">
        <v>42</v>
      </c>
      <c r="F781" s="1">
        <v>46346</v>
      </c>
      <c r="G781" s="1">
        <v>46387</v>
      </c>
      <c r="H781" s="1">
        <v>46358</v>
      </c>
      <c r="I781" s="1"/>
      <c r="J781" s="2">
        <v>95767.65</v>
      </c>
      <c r="K781" s="2">
        <v>53620.05</v>
      </c>
      <c r="L781" s="2">
        <v>156440.15</v>
      </c>
      <c r="M781">
        <v>631</v>
      </c>
      <c r="N781">
        <v>363</v>
      </c>
      <c r="O781" t="s">
        <v>34</v>
      </c>
      <c r="P781" s="2">
        <f>Tabela1[[#This Row],[orcamento_aprovado]]-Tabela1[[#This Row],[custo_real_acumulado]]</f>
        <v>42147.599999999991</v>
      </c>
      <c r="Q781" t="str">
        <f>IF(Tabela1[[#This Row],[data_fim_real]]="","",Tabela1[[#This Row],[data_fim_real]]-Tabela1[[#This Row],[data_inicio_real]])</f>
        <v/>
      </c>
    </row>
    <row r="782" spans="1:17" ht="16.5" x14ac:dyDescent="0.5">
      <c r="A782" t="s">
        <v>1829</v>
      </c>
      <c r="B782" t="s">
        <v>1830</v>
      </c>
      <c r="C782" t="s">
        <v>694</v>
      </c>
      <c r="D782" t="s">
        <v>71</v>
      </c>
      <c r="E782" t="s">
        <v>43</v>
      </c>
      <c r="F782" s="1">
        <v>46049</v>
      </c>
      <c r="G782" s="1">
        <v>46180</v>
      </c>
      <c r="H782" s="1">
        <v>46048</v>
      </c>
      <c r="I782" s="1"/>
      <c r="J782" s="2">
        <v>58628.14</v>
      </c>
      <c r="K782" s="2">
        <v>2727.23</v>
      </c>
      <c r="L782" s="2">
        <v>96964.97</v>
      </c>
      <c r="M782">
        <v>3893</v>
      </c>
      <c r="N782">
        <v>196</v>
      </c>
      <c r="O782" t="s">
        <v>21</v>
      </c>
      <c r="P782" s="2">
        <f>Tabela1[[#This Row],[orcamento_aprovado]]-Tabela1[[#This Row],[custo_real_acumulado]]</f>
        <v>55900.909999999996</v>
      </c>
      <c r="Q782" t="str">
        <f>IF(Tabela1[[#This Row],[data_fim_real]]="","",Tabela1[[#This Row],[data_fim_real]]-Tabela1[[#This Row],[data_inicio_real]])</f>
        <v/>
      </c>
    </row>
    <row r="783" spans="1:17" ht="16.5" x14ac:dyDescent="0.5">
      <c r="A783" t="s">
        <v>1831</v>
      </c>
      <c r="B783" t="s">
        <v>1832</v>
      </c>
      <c r="C783" t="s">
        <v>208</v>
      </c>
      <c r="D783" t="s">
        <v>50</v>
      </c>
      <c r="E783" t="s">
        <v>43</v>
      </c>
      <c r="F783" s="1">
        <v>46147</v>
      </c>
      <c r="G783" s="1">
        <v>46191</v>
      </c>
      <c r="H783" s="1">
        <v>46154</v>
      </c>
      <c r="I783" s="1"/>
      <c r="J783" s="2">
        <v>73940.490000000005</v>
      </c>
      <c r="K783" s="2">
        <v>3240.69</v>
      </c>
      <c r="L783" s="2">
        <v>36924.730000000003</v>
      </c>
      <c r="M783">
        <v>793</v>
      </c>
      <c r="N783">
        <v>35</v>
      </c>
      <c r="O783" t="s">
        <v>26</v>
      </c>
      <c r="P783" s="2">
        <f>Tabela1[[#This Row],[orcamento_aprovado]]-Tabela1[[#This Row],[custo_real_acumulado]]</f>
        <v>70699.8</v>
      </c>
      <c r="Q783" t="str">
        <f>IF(Tabela1[[#This Row],[data_fim_real]]="","",Tabela1[[#This Row],[data_fim_real]]-Tabela1[[#This Row],[data_inicio_real]])</f>
        <v/>
      </c>
    </row>
    <row r="784" spans="1:17" ht="16.5" x14ac:dyDescent="0.5">
      <c r="A784" t="s">
        <v>1833</v>
      </c>
      <c r="B784" t="s">
        <v>1834</v>
      </c>
      <c r="C784" t="s">
        <v>486</v>
      </c>
      <c r="D784" t="s">
        <v>33</v>
      </c>
      <c r="E784" t="s">
        <v>43</v>
      </c>
      <c r="F784" s="1">
        <v>46132</v>
      </c>
      <c r="G784" s="1">
        <v>46229</v>
      </c>
      <c r="H784" s="1">
        <v>46122</v>
      </c>
      <c r="I784" s="1">
        <v>46151</v>
      </c>
      <c r="J784" s="2">
        <v>82542.350000000006</v>
      </c>
      <c r="K784" s="2">
        <v>48014.14</v>
      </c>
      <c r="L784" s="2">
        <v>138737.76999999999</v>
      </c>
      <c r="M784">
        <v>1303</v>
      </c>
      <c r="N784">
        <v>738</v>
      </c>
      <c r="O784" t="s">
        <v>34</v>
      </c>
      <c r="P784" s="2">
        <f>Tabela1[[#This Row],[orcamento_aprovado]]-Tabela1[[#This Row],[custo_real_acumulado]]</f>
        <v>34528.210000000006</v>
      </c>
      <c r="Q784">
        <f>IF(Tabela1[[#This Row],[data_fim_real]]="","",Tabela1[[#This Row],[data_fim_real]]-Tabela1[[#This Row],[data_inicio_real]])</f>
        <v>29</v>
      </c>
    </row>
    <row r="785" spans="1:17" ht="16.5" x14ac:dyDescent="0.5">
      <c r="A785" t="s">
        <v>1835</v>
      </c>
      <c r="B785" t="s">
        <v>147</v>
      </c>
      <c r="C785" t="s">
        <v>145</v>
      </c>
      <c r="D785" t="s">
        <v>54</v>
      </c>
      <c r="E785" t="s">
        <v>43</v>
      </c>
      <c r="F785" s="1">
        <v>46100</v>
      </c>
      <c r="G785" s="1">
        <v>46179</v>
      </c>
      <c r="H785" s="1">
        <v>46092</v>
      </c>
      <c r="I785" s="1">
        <v>46171</v>
      </c>
      <c r="J785" s="2">
        <v>77993.62</v>
      </c>
      <c r="K785" s="2">
        <v>34625.980000000003</v>
      </c>
      <c r="L785" s="2">
        <v>82031.570000000007</v>
      </c>
      <c r="M785">
        <v>579</v>
      </c>
      <c r="N785">
        <v>336</v>
      </c>
      <c r="O785" t="s">
        <v>21</v>
      </c>
      <c r="P785" s="2">
        <f>Tabela1[[#This Row],[orcamento_aprovado]]-Tabela1[[#This Row],[custo_real_acumulado]]</f>
        <v>43367.639999999992</v>
      </c>
      <c r="Q785">
        <f>IF(Tabela1[[#This Row],[data_fim_real]]="","",Tabela1[[#This Row],[data_fim_real]]-Tabela1[[#This Row],[data_inicio_real]])</f>
        <v>79</v>
      </c>
    </row>
    <row r="786" spans="1:17" ht="16.5" x14ac:dyDescent="0.5">
      <c r="A786" t="s">
        <v>1836</v>
      </c>
      <c r="B786" t="s">
        <v>1837</v>
      </c>
      <c r="C786" t="s">
        <v>49</v>
      </c>
      <c r="D786" t="s">
        <v>18</v>
      </c>
      <c r="E786" t="s">
        <v>42</v>
      </c>
      <c r="F786" s="1">
        <v>46110</v>
      </c>
      <c r="G786" s="1">
        <v>46227</v>
      </c>
      <c r="H786" s="1"/>
      <c r="I786" s="1"/>
      <c r="J786" s="2">
        <v>175222.32</v>
      </c>
      <c r="K786" s="2">
        <v>0</v>
      </c>
      <c r="L786" s="2">
        <v>192127.77</v>
      </c>
      <c r="M786">
        <v>4134</v>
      </c>
      <c r="N786">
        <v>0</v>
      </c>
      <c r="O786" t="s">
        <v>26</v>
      </c>
      <c r="P786" s="2">
        <f>Tabela1[[#This Row],[orcamento_aprovado]]-Tabela1[[#This Row],[custo_real_acumulado]]</f>
        <v>175222.32</v>
      </c>
      <c r="Q786" t="str">
        <f>IF(Tabela1[[#This Row],[data_fim_real]]="","",Tabela1[[#This Row],[data_fim_real]]-Tabela1[[#This Row],[data_inicio_real]])</f>
        <v/>
      </c>
    </row>
    <row r="787" spans="1:17" ht="16.5" x14ac:dyDescent="0.5">
      <c r="A787" t="s">
        <v>1838</v>
      </c>
      <c r="B787" t="s">
        <v>1839</v>
      </c>
      <c r="C787" t="s">
        <v>788</v>
      </c>
      <c r="D787" t="s">
        <v>78</v>
      </c>
      <c r="E787" t="s">
        <v>43</v>
      </c>
      <c r="F787" s="1">
        <v>46375</v>
      </c>
      <c r="G787" s="1">
        <v>46387</v>
      </c>
      <c r="H787" s="1"/>
      <c r="I787" s="1"/>
      <c r="J787" s="2">
        <v>70455.33</v>
      </c>
      <c r="K787" s="2">
        <v>0</v>
      </c>
      <c r="L787" s="2">
        <v>97281.59</v>
      </c>
      <c r="M787">
        <v>408</v>
      </c>
      <c r="N787">
        <v>0</v>
      </c>
      <c r="O787" t="s">
        <v>34</v>
      </c>
      <c r="P787" s="2">
        <f>Tabela1[[#This Row],[orcamento_aprovado]]-Tabela1[[#This Row],[custo_real_acumulado]]</f>
        <v>70455.33</v>
      </c>
      <c r="Q787" t="str">
        <f>IF(Tabela1[[#This Row],[data_fim_real]]="","",Tabela1[[#This Row],[data_fim_real]]-Tabela1[[#This Row],[data_inicio_real]])</f>
        <v/>
      </c>
    </row>
    <row r="788" spans="1:17" ht="16.5" x14ac:dyDescent="0.5">
      <c r="A788" t="s">
        <v>1840</v>
      </c>
      <c r="B788" t="s">
        <v>1841</v>
      </c>
      <c r="C788" t="s">
        <v>1496</v>
      </c>
      <c r="D788" t="s">
        <v>58</v>
      </c>
      <c r="E788" t="s">
        <v>19</v>
      </c>
      <c r="F788" s="1">
        <v>46041</v>
      </c>
      <c r="G788" s="1">
        <v>46109</v>
      </c>
      <c r="H788" s="1">
        <v>46044</v>
      </c>
      <c r="I788" s="1"/>
      <c r="J788" s="2">
        <v>117532.98</v>
      </c>
      <c r="K788" s="2">
        <v>121286.63</v>
      </c>
      <c r="L788" s="2">
        <v>226267.28</v>
      </c>
      <c r="M788">
        <v>3413</v>
      </c>
      <c r="N788">
        <v>2803</v>
      </c>
      <c r="O788" t="s">
        <v>21</v>
      </c>
      <c r="P788" s="2">
        <f>Tabela1[[#This Row],[orcamento_aprovado]]-Tabela1[[#This Row],[custo_real_acumulado]]</f>
        <v>-3753.6500000000087</v>
      </c>
      <c r="Q788" t="str">
        <f>IF(Tabela1[[#This Row],[data_fim_real]]="","",Tabela1[[#This Row],[data_fim_real]]-Tabela1[[#This Row],[data_inicio_real]])</f>
        <v/>
      </c>
    </row>
    <row r="789" spans="1:17" ht="16.5" x14ac:dyDescent="0.5">
      <c r="A789" t="s">
        <v>1842</v>
      </c>
      <c r="B789" t="s">
        <v>1843</v>
      </c>
      <c r="C789" t="s">
        <v>659</v>
      </c>
      <c r="D789" t="s">
        <v>38</v>
      </c>
      <c r="E789" t="s">
        <v>20</v>
      </c>
      <c r="F789" s="1">
        <v>46323</v>
      </c>
      <c r="G789" s="1">
        <v>46354</v>
      </c>
      <c r="H789" s="1">
        <v>46329</v>
      </c>
      <c r="I789" s="1">
        <v>46366</v>
      </c>
      <c r="J789" s="2">
        <v>120668.55</v>
      </c>
      <c r="K789" s="2">
        <v>123746.19</v>
      </c>
      <c r="L789" s="2">
        <v>89867.27</v>
      </c>
      <c r="M789">
        <v>878</v>
      </c>
      <c r="N789">
        <v>940</v>
      </c>
      <c r="O789" t="s">
        <v>26</v>
      </c>
      <c r="P789" s="2">
        <f>Tabela1[[#This Row],[orcamento_aprovado]]-Tabela1[[#This Row],[custo_real_acumulado]]</f>
        <v>-3077.6399999999994</v>
      </c>
      <c r="Q789">
        <f>IF(Tabela1[[#This Row],[data_fim_real]]="","",Tabela1[[#This Row],[data_fim_real]]-Tabela1[[#This Row],[data_inicio_real]])</f>
        <v>37</v>
      </c>
    </row>
    <row r="790" spans="1:17" ht="16.5" x14ac:dyDescent="0.5">
      <c r="A790" t="s">
        <v>1844</v>
      </c>
      <c r="B790" t="s">
        <v>1845</v>
      </c>
      <c r="C790" t="s">
        <v>522</v>
      </c>
      <c r="D790" t="s">
        <v>54</v>
      </c>
      <c r="E790" t="s">
        <v>43</v>
      </c>
      <c r="F790" s="1">
        <v>46091</v>
      </c>
      <c r="G790" s="1">
        <v>46157</v>
      </c>
      <c r="H790" s="1">
        <v>46104</v>
      </c>
      <c r="I790" s="1"/>
      <c r="J790" s="2">
        <v>50000</v>
      </c>
      <c r="K790" s="2">
        <v>25277.599999999999</v>
      </c>
      <c r="L790" s="2">
        <v>84239.24</v>
      </c>
      <c r="M790">
        <v>1402</v>
      </c>
      <c r="N790">
        <v>720</v>
      </c>
      <c r="O790" t="s">
        <v>34</v>
      </c>
      <c r="P790" s="2">
        <f>Tabela1[[#This Row],[orcamento_aprovado]]-Tabela1[[#This Row],[custo_real_acumulado]]</f>
        <v>24722.400000000001</v>
      </c>
      <c r="Q790" t="str">
        <f>IF(Tabela1[[#This Row],[data_fim_real]]="","",Tabela1[[#This Row],[data_fim_real]]-Tabela1[[#This Row],[data_inicio_real]])</f>
        <v/>
      </c>
    </row>
    <row r="791" spans="1:17" ht="16.5" x14ac:dyDescent="0.5">
      <c r="A791" t="s">
        <v>1846</v>
      </c>
      <c r="B791" t="s">
        <v>1847</v>
      </c>
      <c r="C791" t="s">
        <v>1069</v>
      </c>
      <c r="D791" t="s">
        <v>33</v>
      </c>
      <c r="E791" t="s">
        <v>20</v>
      </c>
      <c r="F791" s="1">
        <v>46126</v>
      </c>
      <c r="G791" s="1">
        <v>46191</v>
      </c>
      <c r="H791" s="1">
        <v>46134</v>
      </c>
      <c r="I791" s="1"/>
      <c r="J791" s="2">
        <v>253926.57</v>
      </c>
      <c r="K791" s="2">
        <v>89482.11</v>
      </c>
      <c r="L791" s="2">
        <v>538711.75</v>
      </c>
      <c r="M791">
        <v>1119</v>
      </c>
      <c r="N791">
        <v>376</v>
      </c>
      <c r="O791" t="s">
        <v>21</v>
      </c>
      <c r="P791" s="2">
        <f>Tabela1[[#This Row],[orcamento_aprovado]]-Tabela1[[#This Row],[custo_real_acumulado]]</f>
        <v>164444.46000000002</v>
      </c>
      <c r="Q791" t="str">
        <f>IF(Tabela1[[#This Row],[data_fim_real]]="","",Tabela1[[#This Row],[data_fim_real]]-Tabela1[[#This Row],[data_inicio_real]])</f>
        <v/>
      </c>
    </row>
    <row r="792" spans="1:17" ht="16.5" x14ac:dyDescent="0.5">
      <c r="A792" t="s">
        <v>1848</v>
      </c>
      <c r="B792" t="s">
        <v>1849</v>
      </c>
      <c r="C792" t="s">
        <v>460</v>
      </c>
      <c r="D792" t="s">
        <v>50</v>
      </c>
      <c r="E792" t="s">
        <v>20</v>
      </c>
      <c r="F792" s="1">
        <v>46281</v>
      </c>
      <c r="G792" s="1">
        <v>46338</v>
      </c>
      <c r="H792" s="1">
        <v>46288</v>
      </c>
      <c r="I792" s="1"/>
      <c r="J792" s="2">
        <v>55649.13</v>
      </c>
      <c r="K792" s="2">
        <v>13925.49</v>
      </c>
      <c r="L792" s="2">
        <v>23532.04</v>
      </c>
      <c r="M792">
        <v>1296</v>
      </c>
      <c r="N792">
        <v>278</v>
      </c>
      <c r="O792" t="s">
        <v>26</v>
      </c>
      <c r="P792" s="2">
        <f>Tabela1[[#This Row],[orcamento_aprovado]]-Tabela1[[#This Row],[custo_real_acumulado]]</f>
        <v>41723.64</v>
      </c>
      <c r="Q792" t="str">
        <f>IF(Tabela1[[#This Row],[data_fim_real]]="","",Tabela1[[#This Row],[data_fim_real]]-Tabela1[[#This Row],[data_inicio_real]])</f>
        <v/>
      </c>
    </row>
    <row r="793" spans="1:17" ht="16.5" x14ac:dyDescent="0.5">
      <c r="A793" t="s">
        <v>1850</v>
      </c>
      <c r="B793" t="s">
        <v>1851</v>
      </c>
      <c r="C793" t="s">
        <v>138</v>
      </c>
      <c r="D793" t="s">
        <v>78</v>
      </c>
      <c r="E793" t="s">
        <v>20</v>
      </c>
      <c r="F793" s="1">
        <v>46236</v>
      </c>
      <c r="G793" s="1">
        <v>46256</v>
      </c>
      <c r="H793" s="1">
        <v>46231</v>
      </c>
      <c r="I793" s="1">
        <v>46241</v>
      </c>
      <c r="J793" s="2">
        <v>50000</v>
      </c>
      <c r="K793" s="2">
        <v>25722.93</v>
      </c>
      <c r="L793" s="2">
        <v>65960.81</v>
      </c>
      <c r="M793">
        <v>543</v>
      </c>
      <c r="N793">
        <v>261</v>
      </c>
      <c r="O793" t="s">
        <v>34</v>
      </c>
      <c r="P793" s="2">
        <f>Tabela1[[#This Row],[orcamento_aprovado]]-Tabela1[[#This Row],[custo_real_acumulado]]</f>
        <v>24277.07</v>
      </c>
      <c r="Q793">
        <f>IF(Tabela1[[#This Row],[data_fim_real]]="","",Tabela1[[#This Row],[data_fim_real]]-Tabela1[[#This Row],[data_inicio_real]])</f>
        <v>10</v>
      </c>
    </row>
    <row r="794" spans="1:17" ht="16.5" x14ac:dyDescent="0.5">
      <c r="A794" t="s">
        <v>1852</v>
      </c>
      <c r="B794" t="s">
        <v>1853</v>
      </c>
      <c r="C794" t="s">
        <v>996</v>
      </c>
      <c r="D794" t="s">
        <v>58</v>
      </c>
      <c r="E794" t="s">
        <v>20</v>
      </c>
      <c r="F794" s="1">
        <v>46047</v>
      </c>
      <c r="G794" s="1">
        <v>46122</v>
      </c>
      <c r="H794" s="1">
        <v>46072</v>
      </c>
      <c r="I794" s="1"/>
      <c r="J794" s="2">
        <v>92712.24</v>
      </c>
      <c r="K794" s="2">
        <v>51194.03</v>
      </c>
      <c r="L794" s="2">
        <v>127585.24</v>
      </c>
      <c r="M794">
        <v>2089</v>
      </c>
      <c r="N794">
        <v>1017</v>
      </c>
      <c r="O794" t="s">
        <v>21</v>
      </c>
      <c r="P794" s="2">
        <f>Tabela1[[#This Row],[orcamento_aprovado]]-Tabela1[[#This Row],[custo_real_acumulado]]</f>
        <v>41518.210000000006</v>
      </c>
      <c r="Q794" t="str">
        <f>IF(Tabela1[[#This Row],[data_fim_real]]="","",Tabela1[[#This Row],[data_fim_real]]-Tabela1[[#This Row],[data_inicio_real]])</f>
        <v/>
      </c>
    </row>
    <row r="795" spans="1:17" ht="16.5" x14ac:dyDescent="0.5">
      <c r="A795" t="s">
        <v>1854</v>
      </c>
      <c r="B795" t="s">
        <v>1855</v>
      </c>
      <c r="C795" t="s">
        <v>255</v>
      </c>
      <c r="D795" t="s">
        <v>50</v>
      </c>
      <c r="E795" t="s">
        <v>19</v>
      </c>
      <c r="F795" s="1">
        <v>46191</v>
      </c>
      <c r="G795" s="1">
        <v>46273</v>
      </c>
      <c r="H795" s="1">
        <v>46193</v>
      </c>
      <c r="I795" s="1">
        <v>46270</v>
      </c>
      <c r="J795" s="2">
        <v>50000</v>
      </c>
      <c r="K795" s="2">
        <v>52697.85</v>
      </c>
      <c r="L795" s="2">
        <v>96987.56</v>
      </c>
      <c r="M795">
        <v>1230</v>
      </c>
      <c r="N795">
        <v>1006</v>
      </c>
      <c r="O795" t="s">
        <v>26</v>
      </c>
      <c r="P795" s="2">
        <f>Tabela1[[#This Row],[orcamento_aprovado]]-Tabela1[[#This Row],[custo_real_acumulado]]</f>
        <v>-2697.8499999999985</v>
      </c>
      <c r="Q795">
        <f>IF(Tabela1[[#This Row],[data_fim_real]]="","",Tabela1[[#This Row],[data_fim_real]]-Tabela1[[#This Row],[data_inicio_real]])</f>
        <v>77</v>
      </c>
    </row>
    <row r="796" spans="1:17" ht="16.5" x14ac:dyDescent="0.5">
      <c r="A796" t="s">
        <v>1856</v>
      </c>
      <c r="B796" t="s">
        <v>1857</v>
      </c>
      <c r="C796" t="s">
        <v>546</v>
      </c>
      <c r="D796" t="s">
        <v>78</v>
      </c>
      <c r="E796" t="s">
        <v>43</v>
      </c>
      <c r="F796" s="1">
        <v>46072</v>
      </c>
      <c r="G796" s="1">
        <v>46185</v>
      </c>
      <c r="H796" s="1">
        <v>46064</v>
      </c>
      <c r="I796" s="1"/>
      <c r="J796" s="2">
        <v>440128.39</v>
      </c>
      <c r="K796" s="2">
        <v>42225.1</v>
      </c>
      <c r="L796" s="2">
        <v>492222.68</v>
      </c>
      <c r="M796">
        <v>2894</v>
      </c>
      <c r="N796">
        <v>284</v>
      </c>
      <c r="O796" t="s">
        <v>34</v>
      </c>
      <c r="P796" s="2">
        <f>Tabela1[[#This Row],[orcamento_aprovado]]-Tabela1[[#This Row],[custo_real_acumulado]]</f>
        <v>397903.29000000004</v>
      </c>
      <c r="Q796" t="str">
        <f>IF(Tabela1[[#This Row],[data_fim_real]]="","",Tabela1[[#This Row],[data_fim_real]]-Tabela1[[#This Row],[data_inicio_real]])</f>
        <v/>
      </c>
    </row>
    <row r="797" spans="1:17" ht="16.5" x14ac:dyDescent="0.5">
      <c r="A797" t="s">
        <v>1858</v>
      </c>
      <c r="B797" t="s">
        <v>1859</v>
      </c>
      <c r="C797" t="s">
        <v>392</v>
      </c>
      <c r="D797" t="s">
        <v>78</v>
      </c>
      <c r="E797" t="s">
        <v>20</v>
      </c>
      <c r="F797" s="1">
        <v>46284</v>
      </c>
      <c r="G797" s="1">
        <v>46345</v>
      </c>
      <c r="H797" s="1">
        <v>46294</v>
      </c>
      <c r="I797" s="1"/>
      <c r="J797" s="2">
        <v>50000</v>
      </c>
      <c r="K797" s="2">
        <v>18360.64</v>
      </c>
      <c r="L797" s="2">
        <v>45236.27</v>
      </c>
      <c r="M797">
        <v>1401</v>
      </c>
      <c r="N797">
        <v>543</v>
      </c>
      <c r="O797" t="s">
        <v>21</v>
      </c>
      <c r="P797" s="2">
        <f>Tabela1[[#This Row],[orcamento_aprovado]]-Tabela1[[#This Row],[custo_real_acumulado]]</f>
        <v>31639.360000000001</v>
      </c>
      <c r="Q797" t="str">
        <f>IF(Tabela1[[#This Row],[data_fim_real]]="","",Tabela1[[#This Row],[data_fim_real]]-Tabela1[[#This Row],[data_inicio_real]])</f>
        <v/>
      </c>
    </row>
    <row r="798" spans="1:17" ht="16.5" x14ac:dyDescent="0.5">
      <c r="A798" t="s">
        <v>1860</v>
      </c>
      <c r="B798" t="s">
        <v>1861</v>
      </c>
      <c r="C798" t="s">
        <v>732</v>
      </c>
      <c r="D798" t="s">
        <v>25</v>
      </c>
      <c r="E798" t="s">
        <v>42</v>
      </c>
      <c r="F798" s="1">
        <v>46296</v>
      </c>
      <c r="G798" s="1">
        <v>46387</v>
      </c>
      <c r="H798" s="1">
        <v>46285</v>
      </c>
      <c r="I798" s="1"/>
      <c r="J798" s="2">
        <v>166895.85</v>
      </c>
      <c r="K798" s="2">
        <v>128287.05</v>
      </c>
      <c r="L798" s="2">
        <v>282569.55</v>
      </c>
      <c r="M798">
        <v>3189</v>
      </c>
      <c r="N798">
        <v>2412</v>
      </c>
      <c r="O798" t="s">
        <v>26</v>
      </c>
      <c r="P798" s="2">
        <f>Tabela1[[#This Row],[orcamento_aprovado]]-Tabela1[[#This Row],[custo_real_acumulado]]</f>
        <v>38608.800000000003</v>
      </c>
      <c r="Q798" t="str">
        <f>IF(Tabela1[[#This Row],[data_fim_real]]="","",Tabela1[[#This Row],[data_fim_real]]-Tabela1[[#This Row],[data_inicio_real]])</f>
        <v/>
      </c>
    </row>
    <row r="799" spans="1:17" ht="16.5" x14ac:dyDescent="0.5">
      <c r="A799" t="s">
        <v>1862</v>
      </c>
      <c r="B799" t="s">
        <v>1863</v>
      </c>
      <c r="C799" t="s">
        <v>145</v>
      </c>
      <c r="D799" t="s">
        <v>71</v>
      </c>
      <c r="E799" t="s">
        <v>42</v>
      </c>
      <c r="F799" s="1">
        <v>46257</v>
      </c>
      <c r="G799" s="1">
        <v>46325</v>
      </c>
      <c r="H799" s="1">
        <v>46256</v>
      </c>
      <c r="I799" s="1">
        <v>46338</v>
      </c>
      <c r="J799" s="2">
        <v>79626.539999999994</v>
      </c>
      <c r="K799" s="2">
        <v>69432.86</v>
      </c>
      <c r="L799" s="2">
        <v>50607.92</v>
      </c>
      <c r="M799">
        <v>2926</v>
      </c>
      <c r="N799">
        <v>2653</v>
      </c>
      <c r="O799" t="s">
        <v>34</v>
      </c>
      <c r="P799" s="2">
        <f>Tabela1[[#This Row],[orcamento_aprovado]]-Tabela1[[#This Row],[custo_real_acumulado]]</f>
        <v>10193.679999999993</v>
      </c>
      <c r="Q799">
        <f>IF(Tabela1[[#This Row],[data_fim_real]]="","",Tabela1[[#This Row],[data_fim_real]]-Tabela1[[#This Row],[data_inicio_real]])</f>
        <v>82</v>
      </c>
    </row>
    <row r="800" spans="1:17" ht="16.5" x14ac:dyDescent="0.5">
      <c r="A800" t="s">
        <v>1864</v>
      </c>
      <c r="B800" t="s">
        <v>1865</v>
      </c>
      <c r="C800" t="s">
        <v>1010</v>
      </c>
      <c r="D800" t="s">
        <v>38</v>
      </c>
      <c r="E800" t="s">
        <v>42</v>
      </c>
      <c r="F800" s="1">
        <v>46289</v>
      </c>
      <c r="G800" s="1">
        <v>46387</v>
      </c>
      <c r="H800" s="1"/>
      <c r="I800" s="1"/>
      <c r="J800" s="2">
        <v>50000</v>
      </c>
      <c r="K800" s="2">
        <v>0</v>
      </c>
      <c r="L800" s="2">
        <v>32492.35</v>
      </c>
      <c r="M800">
        <v>5007</v>
      </c>
      <c r="N800">
        <v>0</v>
      </c>
      <c r="O800" t="s">
        <v>21</v>
      </c>
      <c r="P800" s="2">
        <f>Tabela1[[#This Row],[orcamento_aprovado]]-Tabela1[[#This Row],[custo_real_acumulado]]</f>
        <v>50000</v>
      </c>
      <c r="Q800" t="str">
        <f>IF(Tabela1[[#This Row],[data_fim_real]]="","",Tabela1[[#This Row],[data_fim_real]]-Tabela1[[#This Row],[data_inicio_real]])</f>
        <v/>
      </c>
    </row>
    <row r="801" spans="1:17" ht="16.5" x14ac:dyDescent="0.5">
      <c r="A801" t="s">
        <v>1866</v>
      </c>
      <c r="B801" t="s">
        <v>1867</v>
      </c>
      <c r="C801" t="s">
        <v>1868</v>
      </c>
      <c r="D801" t="s">
        <v>38</v>
      </c>
      <c r="E801" t="s">
        <v>20</v>
      </c>
      <c r="F801" s="1">
        <v>46379</v>
      </c>
      <c r="G801" s="1">
        <v>46387</v>
      </c>
      <c r="H801" s="1">
        <v>46387</v>
      </c>
      <c r="I801" s="1">
        <v>46387</v>
      </c>
      <c r="J801" s="2">
        <v>195773.69</v>
      </c>
      <c r="K801" s="2">
        <v>192139.51999999999</v>
      </c>
      <c r="L801" s="2">
        <v>98869.8</v>
      </c>
      <c r="M801">
        <v>542</v>
      </c>
      <c r="N801">
        <v>619</v>
      </c>
      <c r="O801" t="s">
        <v>26</v>
      </c>
      <c r="P801" s="2">
        <f>Tabela1[[#This Row],[orcamento_aprovado]]-Tabela1[[#This Row],[custo_real_acumulado]]</f>
        <v>3634.1700000000128</v>
      </c>
      <c r="Q801">
        <f>IF(Tabela1[[#This Row],[data_fim_real]]="","",Tabela1[[#This Row],[data_fim_real]]-Tabela1[[#This Row],[data_inicio_real]])</f>
        <v>0</v>
      </c>
    </row>
    <row r="802" spans="1:17" ht="16.5" x14ac:dyDescent="0.5">
      <c r="A802" t="s">
        <v>1869</v>
      </c>
      <c r="B802" t="s">
        <v>1870</v>
      </c>
      <c r="C802" t="s">
        <v>854</v>
      </c>
      <c r="D802" t="s">
        <v>142</v>
      </c>
      <c r="E802" t="s">
        <v>42</v>
      </c>
      <c r="F802" s="1">
        <v>46331</v>
      </c>
      <c r="G802" s="1">
        <v>46345</v>
      </c>
      <c r="H802" s="1">
        <v>46324</v>
      </c>
      <c r="I802" s="1"/>
      <c r="J802" s="2">
        <v>115815.88</v>
      </c>
      <c r="K802" s="2">
        <v>88055.039999999994</v>
      </c>
      <c r="L802" s="2">
        <v>230217.04</v>
      </c>
      <c r="M802">
        <v>215</v>
      </c>
      <c r="N802">
        <v>120</v>
      </c>
      <c r="O802" t="s">
        <v>34</v>
      </c>
      <c r="P802" s="2">
        <f>Tabela1[[#This Row],[orcamento_aprovado]]-Tabela1[[#This Row],[custo_real_acumulado]]</f>
        <v>27760.840000000011</v>
      </c>
      <c r="Q802" t="str">
        <f>IF(Tabela1[[#This Row],[data_fim_real]]="","",Tabela1[[#This Row],[data_fim_real]]-Tabela1[[#This Row],[data_inicio_real]])</f>
        <v/>
      </c>
    </row>
    <row r="803" spans="1:17" ht="16.5" x14ac:dyDescent="0.5">
      <c r="A803" t="s">
        <v>1871</v>
      </c>
      <c r="B803" t="s">
        <v>1872</v>
      </c>
      <c r="C803" t="s">
        <v>92</v>
      </c>
      <c r="D803" t="s">
        <v>58</v>
      </c>
      <c r="E803" t="s">
        <v>43</v>
      </c>
      <c r="F803" s="1">
        <v>46304</v>
      </c>
      <c r="G803" s="1">
        <v>46387</v>
      </c>
      <c r="H803" s="1">
        <v>46300</v>
      </c>
      <c r="I803" s="1"/>
      <c r="J803" s="2">
        <v>420171.39</v>
      </c>
      <c r="K803" s="2">
        <v>325729.7</v>
      </c>
      <c r="L803" s="2">
        <v>313616.88</v>
      </c>
      <c r="M803">
        <v>1613</v>
      </c>
      <c r="N803">
        <v>1265</v>
      </c>
      <c r="O803" t="s">
        <v>21</v>
      </c>
      <c r="P803" s="2">
        <f>Tabela1[[#This Row],[orcamento_aprovado]]-Tabela1[[#This Row],[custo_real_acumulado]]</f>
        <v>94441.69</v>
      </c>
      <c r="Q803" t="str">
        <f>IF(Tabela1[[#This Row],[data_fim_real]]="","",Tabela1[[#This Row],[data_fim_real]]-Tabela1[[#This Row],[data_inicio_real]])</f>
        <v/>
      </c>
    </row>
    <row r="804" spans="1:17" ht="16.5" x14ac:dyDescent="0.5">
      <c r="A804" t="s">
        <v>1873</v>
      </c>
      <c r="B804" t="s">
        <v>1874</v>
      </c>
      <c r="C804" t="s">
        <v>279</v>
      </c>
      <c r="D804" t="s">
        <v>33</v>
      </c>
      <c r="E804" t="s">
        <v>19</v>
      </c>
      <c r="F804" s="1">
        <v>46077</v>
      </c>
      <c r="G804" s="1">
        <v>46189</v>
      </c>
      <c r="H804" s="1"/>
      <c r="I804" s="1"/>
      <c r="J804" s="2">
        <v>83569.66</v>
      </c>
      <c r="K804" s="2">
        <v>0</v>
      </c>
      <c r="L804" s="2">
        <v>26357.18</v>
      </c>
      <c r="M804">
        <v>3843</v>
      </c>
      <c r="N804">
        <v>0</v>
      </c>
      <c r="O804" t="s">
        <v>26</v>
      </c>
      <c r="P804" s="2">
        <f>Tabela1[[#This Row],[orcamento_aprovado]]-Tabela1[[#This Row],[custo_real_acumulado]]</f>
        <v>83569.66</v>
      </c>
      <c r="Q804" t="str">
        <f>IF(Tabela1[[#This Row],[data_fim_real]]="","",Tabela1[[#This Row],[data_fim_real]]-Tabela1[[#This Row],[data_inicio_real]])</f>
        <v/>
      </c>
    </row>
    <row r="805" spans="1:17" ht="16.5" x14ac:dyDescent="0.5">
      <c r="A805" t="s">
        <v>1875</v>
      </c>
      <c r="B805" t="s">
        <v>1876</v>
      </c>
      <c r="C805" t="s">
        <v>543</v>
      </c>
      <c r="D805" t="s">
        <v>25</v>
      </c>
      <c r="E805" t="s">
        <v>43</v>
      </c>
      <c r="F805" s="1">
        <v>46109</v>
      </c>
      <c r="G805" s="1">
        <v>46176</v>
      </c>
      <c r="H805" s="1">
        <v>46114</v>
      </c>
      <c r="I805" s="1"/>
      <c r="J805" s="2">
        <v>50000</v>
      </c>
      <c r="K805" s="2">
        <v>25535.24</v>
      </c>
      <c r="L805" s="2">
        <v>103134.57</v>
      </c>
      <c r="M805">
        <v>1430</v>
      </c>
      <c r="N805">
        <v>546</v>
      </c>
      <c r="O805" t="s">
        <v>34</v>
      </c>
      <c r="P805" s="2">
        <f>Tabela1[[#This Row],[orcamento_aprovado]]-Tabela1[[#This Row],[custo_real_acumulado]]</f>
        <v>24464.76</v>
      </c>
      <c r="Q805" t="str">
        <f>IF(Tabela1[[#This Row],[data_fim_real]]="","",Tabela1[[#This Row],[data_fim_real]]-Tabela1[[#This Row],[data_inicio_real]])</f>
        <v/>
      </c>
    </row>
    <row r="806" spans="1:17" ht="16.5" x14ac:dyDescent="0.5">
      <c r="A806" t="s">
        <v>1877</v>
      </c>
      <c r="B806" t="s">
        <v>1878</v>
      </c>
      <c r="C806" t="s">
        <v>498</v>
      </c>
      <c r="D806" t="s">
        <v>38</v>
      </c>
      <c r="E806" t="s">
        <v>43</v>
      </c>
      <c r="F806" s="1">
        <v>46092</v>
      </c>
      <c r="G806" s="1">
        <v>46170</v>
      </c>
      <c r="H806" s="1">
        <v>46102</v>
      </c>
      <c r="I806" s="1">
        <v>46174</v>
      </c>
      <c r="J806" s="2">
        <v>234243.24</v>
      </c>
      <c r="K806" s="2">
        <v>254637.27</v>
      </c>
      <c r="L806" s="2">
        <v>290557.44</v>
      </c>
      <c r="M806">
        <v>504</v>
      </c>
      <c r="N806">
        <v>429</v>
      </c>
      <c r="O806" t="s">
        <v>21</v>
      </c>
      <c r="P806" s="2">
        <f>Tabela1[[#This Row],[orcamento_aprovado]]-Tabela1[[#This Row],[custo_real_acumulado]]</f>
        <v>-20394.03</v>
      </c>
      <c r="Q806">
        <f>IF(Tabela1[[#This Row],[data_fim_real]]="","",Tabela1[[#This Row],[data_fim_real]]-Tabela1[[#This Row],[data_inicio_real]])</f>
        <v>72</v>
      </c>
    </row>
    <row r="807" spans="1:17" ht="16.5" x14ac:dyDescent="0.5">
      <c r="A807" t="s">
        <v>1879</v>
      </c>
      <c r="B807" t="s">
        <v>1880</v>
      </c>
      <c r="C807" t="s">
        <v>86</v>
      </c>
      <c r="D807" t="s">
        <v>142</v>
      </c>
      <c r="E807" t="s">
        <v>43</v>
      </c>
      <c r="F807" s="1">
        <v>46117</v>
      </c>
      <c r="G807" s="1">
        <v>46198</v>
      </c>
      <c r="H807" s="1">
        <v>46131</v>
      </c>
      <c r="I807" s="1"/>
      <c r="J807" s="2">
        <v>116601.03</v>
      </c>
      <c r="K807" s="2">
        <v>66236.61</v>
      </c>
      <c r="L807" s="2">
        <v>53416.52</v>
      </c>
      <c r="M807">
        <v>527</v>
      </c>
      <c r="N807">
        <v>295</v>
      </c>
      <c r="O807" t="s">
        <v>26</v>
      </c>
      <c r="P807" s="2">
        <f>Tabela1[[#This Row],[orcamento_aprovado]]-Tabela1[[#This Row],[custo_real_acumulado]]</f>
        <v>50364.42</v>
      </c>
      <c r="Q807" t="str">
        <f>IF(Tabela1[[#This Row],[data_fim_real]]="","",Tabela1[[#This Row],[data_fim_real]]-Tabela1[[#This Row],[data_inicio_real]])</f>
        <v/>
      </c>
    </row>
    <row r="808" spans="1:17" ht="16.5" x14ac:dyDescent="0.5">
      <c r="A808" t="s">
        <v>1881</v>
      </c>
      <c r="B808" t="s">
        <v>1882</v>
      </c>
      <c r="C808" t="s">
        <v>124</v>
      </c>
      <c r="D808" t="s">
        <v>18</v>
      </c>
      <c r="E808" t="s">
        <v>19</v>
      </c>
      <c r="F808" s="1">
        <v>46077</v>
      </c>
      <c r="G808" s="1">
        <v>46169</v>
      </c>
      <c r="H808" s="1">
        <v>46084</v>
      </c>
      <c r="I808" s="1">
        <v>46176</v>
      </c>
      <c r="J808" s="2">
        <v>50000</v>
      </c>
      <c r="K808" s="2">
        <v>59976.4</v>
      </c>
      <c r="L808" s="2">
        <v>20003.97</v>
      </c>
      <c r="M808">
        <v>1806</v>
      </c>
      <c r="N808">
        <v>1695</v>
      </c>
      <c r="O808" t="s">
        <v>34</v>
      </c>
      <c r="P808" s="2">
        <f>Tabela1[[#This Row],[orcamento_aprovado]]-Tabela1[[#This Row],[custo_real_acumulado]]</f>
        <v>-9976.4000000000015</v>
      </c>
      <c r="Q808">
        <f>IF(Tabela1[[#This Row],[data_fim_real]]="","",Tabela1[[#This Row],[data_fim_real]]-Tabela1[[#This Row],[data_inicio_real]])</f>
        <v>92</v>
      </c>
    </row>
    <row r="809" spans="1:17" ht="16.5" x14ac:dyDescent="0.5">
      <c r="A809" t="s">
        <v>1883</v>
      </c>
      <c r="B809" t="s">
        <v>1884</v>
      </c>
      <c r="C809" t="s">
        <v>24</v>
      </c>
      <c r="D809" t="s">
        <v>71</v>
      </c>
      <c r="E809" t="s">
        <v>19</v>
      </c>
      <c r="F809" s="1">
        <v>46362</v>
      </c>
      <c r="G809" s="1">
        <v>46387</v>
      </c>
      <c r="H809" s="1">
        <v>46366</v>
      </c>
      <c r="I809" s="1"/>
      <c r="J809" s="2">
        <v>61563.49</v>
      </c>
      <c r="K809" s="2">
        <v>43519.16</v>
      </c>
      <c r="L809" s="2">
        <v>107248.17</v>
      </c>
      <c r="M809">
        <v>208</v>
      </c>
      <c r="N809">
        <v>140</v>
      </c>
      <c r="O809" t="s">
        <v>21</v>
      </c>
      <c r="P809" s="2">
        <f>Tabela1[[#This Row],[orcamento_aprovado]]-Tabela1[[#This Row],[custo_real_acumulado]]</f>
        <v>18044.329999999994</v>
      </c>
      <c r="Q809" t="str">
        <f>IF(Tabela1[[#This Row],[data_fim_real]]="","",Tabela1[[#This Row],[data_fim_real]]-Tabela1[[#This Row],[data_inicio_real]])</f>
        <v/>
      </c>
    </row>
    <row r="810" spans="1:17" ht="16.5" x14ac:dyDescent="0.5">
      <c r="A810" t="s">
        <v>1885</v>
      </c>
      <c r="B810" t="s">
        <v>1886</v>
      </c>
      <c r="C810" t="s">
        <v>788</v>
      </c>
      <c r="D810" t="s">
        <v>78</v>
      </c>
      <c r="E810" t="s">
        <v>43</v>
      </c>
      <c r="F810" s="1">
        <v>46241</v>
      </c>
      <c r="G810" s="1">
        <v>46264</v>
      </c>
      <c r="H810" s="1">
        <v>46241</v>
      </c>
      <c r="I810" s="1"/>
      <c r="J810" s="2">
        <v>94147.6</v>
      </c>
      <c r="K810" s="2">
        <v>78436.89</v>
      </c>
      <c r="L810" s="2">
        <v>33571.480000000003</v>
      </c>
      <c r="M810">
        <v>249</v>
      </c>
      <c r="N810">
        <v>186</v>
      </c>
      <c r="O810" t="s">
        <v>26</v>
      </c>
      <c r="P810" s="2">
        <f>Tabela1[[#This Row],[orcamento_aprovado]]-Tabela1[[#This Row],[custo_real_acumulado]]</f>
        <v>15710.710000000006</v>
      </c>
      <c r="Q810" t="str">
        <f>IF(Tabela1[[#This Row],[data_fim_real]]="","",Tabela1[[#This Row],[data_fim_real]]-Tabela1[[#This Row],[data_inicio_real]])</f>
        <v/>
      </c>
    </row>
    <row r="811" spans="1:17" ht="16.5" x14ac:dyDescent="0.5">
      <c r="A811" t="s">
        <v>1887</v>
      </c>
      <c r="B811" t="s">
        <v>1888</v>
      </c>
      <c r="C811" t="s">
        <v>138</v>
      </c>
      <c r="D811" t="s">
        <v>78</v>
      </c>
      <c r="E811" t="s">
        <v>43</v>
      </c>
      <c r="F811" s="1">
        <v>46271</v>
      </c>
      <c r="G811" s="1">
        <v>46368</v>
      </c>
      <c r="H811" s="1">
        <v>46267</v>
      </c>
      <c r="I811" s="1"/>
      <c r="J811" s="2">
        <v>50000</v>
      </c>
      <c r="K811" s="2">
        <v>26799.43</v>
      </c>
      <c r="L811" s="2">
        <v>58404.98</v>
      </c>
      <c r="M811">
        <v>1900</v>
      </c>
      <c r="N811">
        <v>833</v>
      </c>
      <c r="O811" t="s">
        <v>34</v>
      </c>
      <c r="P811" s="2">
        <f>Tabela1[[#This Row],[orcamento_aprovado]]-Tabela1[[#This Row],[custo_real_acumulado]]</f>
        <v>23200.57</v>
      </c>
      <c r="Q811" t="str">
        <f>IF(Tabela1[[#This Row],[data_fim_real]]="","",Tabela1[[#This Row],[data_fim_real]]-Tabela1[[#This Row],[data_inicio_real]])</f>
        <v/>
      </c>
    </row>
    <row r="812" spans="1:17" ht="16.5" x14ac:dyDescent="0.5">
      <c r="A812" t="s">
        <v>1889</v>
      </c>
      <c r="B812" t="s">
        <v>1890</v>
      </c>
      <c r="C812" t="s">
        <v>1472</v>
      </c>
      <c r="D812" t="s">
        <v>18</v>
      </c>
      <c r="E812" t="s">
        <v>19</v>
      </c>
      <c r="F812" s="1">
        <v>46337</v>
      </c>
      <c r="G812" s="1">
        <v>46387</v>
      </c>
      <c r="H812" s="1">
        <v>46330</v>
      </c>
      <c r="I812" s="1"/>
      <c r="J812" s="2">
        <v>50000</v>
      </c>
      <c r="K812" s="2">
        <v>23604.639999999999</v>
      </c>
      <c r="L812" s="2">
        <v>45976.7</v>
      </c>
      <c r="M812">
        <v>910</v>
      </c>
      <c r="N812">
        <v>398</v>
      </c>
      <c r="O812" t="s">
        <v>21</v>
      </c>
      <c r="P812" s="2">
        <f>Tabela1[[#This Row],[orcamento_aprovado]]-Tabela1[[#This Row],[custo_real_acumulado]]</f>
        <v>26395.360000000001</v>
      </c>
      <c r="Q812" t="str">
        <f>IF(Tabela1[[#This Row],[data_fim_real]]="","",Tabela1[[#This Row],[data_fim_real]]-Tabela1[[#This Row],[data_inicio_real]])</f>
        <v/>
      </c>
    </row>
    <row r="813" spans="1:17" ht="16.5" x14ac:dyDescent="0.5">
      <c r="A813" t="s">
        <v>1891</v>
      </c>
      <c r="B813" t="s">
        <v>1892</v>
      </c>
      <c r="C813" t="s">
        <v>719</v>
      </c>
      <c r="D813" t="s">
        <v>58</v>
      </c>
      <c r="E813" t="s">
        <v>20</v>
      </c>
      <c r="F813" s="1">
        <v>46162</v>
      </c>
      <c r="G813" s="1">
        <v>46265</v>
      </c>
      <c r="H813" s="1">
        <v>46161</v>
      </c>
      <c r="I813" s="1"/>
      <c r="J813" s="2">
        <v>587547.01</v>
      </c>
      <c r="K813" s="2">
        <v>121320.58</v>
      </c>
      <c r="L813" s="2">
        <v>1172924.43</v>
      </c>
      <c r="M813">
        <v>5258</v>
      </c>
      <c r="N813">
        <v>1335</v>
      </c>
      <c r="O813" t="s">
        <v>26</v>
      </c>
      <c r="P813" s="2">
        <f>Tabela1[[#This Row],[orcamento_aprovado]]-Tabela1[[#This Row],[custo_real_acumulado]]</f>
        <v>466226.43</v>
      </c>
      <c r="Q813" t="str">
        <f>IF(Tabela1[[#This Row],[data_fim_real]]="","",Tabela1[[#This Row],[data_fim_real]]-Tabela1[[#This Row],[data_inicio_real]])</f>
        <v/>
      </c>
    </row>
    <row r="814" spans="1:17" ht="16.5" x14ac:dyDescent="0.5">
      <c r="A814" t="s">
        <v>1893</v>
      </c>
      <c r="B814" t="s">
        <v>1894</v>
      </c>
      <c r="C814" t="s">
        <v>200</v>
      </c>
      <c r="D814" t="s">
        <v>33</v>
      </c>
      <c r="E814" t="s">
        <v>19</v>
      </c>
      <c r="F814" s="1">
        <v>46275</v>
      </c>
      <c r="G814" s="1">
        <v>46387</v>
      </c>
      <c r="H814" s="1">
        <v>46286</v>
      </c>
      <c r="I814" s="1"/>
      <c r="J814" s="2">
        <v>182746.77</v>
      </c>
      <c r="K814" s="2">
        <v>128147.83</v>
      </c>
      <c r="L814" s="2">
        <v>210892.65</v>
      </c>
      <c r="M814">
        <v>4361</v>
      </c>
      <c r="N814">
        <v>3470</v>
      </c>
      <c r="O814" t="s">
        <v>34</v>
      </c>
      <c r="P814" s="2">
        <f>Tabela1[[#This Row],[orcamento_aprovado]]-Tabela1[[#This Row],[custo_real_acumulado]]</f>
        <v>54598.939999999988</v>
      </c>
      <c r="Q814" t="str">
        <f>IF(Tabela1[[#This Row],[data_fim_real]]="","",Tabela1[[#This Row],[data_fim_real]]-Tabela1[[#This Row],[data_inicio_real]])</f>
        <v/>
      </c>
    </row>
    <row r="815" spans="1:17" ht="16.5" x14ac:dyDescent="0.5">
      <c r="A815" t="s">
        <v>1895</v>
      </c>
      <c r="B815" t="s">
        <v>1896</v>
      </c>
      <c r="C815" t="s">
        <v>498</v>
      </c>
      <c r="D815" t="s">
        <v>50</v>
      </c>
      <c r="E815" t="s">
        <v>20</v>
      </c>
      <c r="F815" s="1">
        <v>46136</v>
      </c>
      <c r="G815" s="1">
        <v>46248</v>
      </c>
      <c r="H815" s="1">
        <v>46138</v>
      </c>
      <c r="I815" s="1"/>
      <c r="J815" s="2">
        <v>68584.62</v>
      </c>
      <c r="K815" s="2">
        <v>4972.68</v>
      </c>
      <c r="L815" s="2">
        <v>41951.56</v>
      </c>
      <c r="M815">
        <v>5998</v>
      </c>
      <c r="N815">
        <v>314</v>
      </c>
      <c r="O815" t="s">
        <v>21</v>
      </c>
      <c r="P815" s="2">
        <f>Tabela1[[#This Row],[orcamento_aprovado]]-Tabela1[[#This Row],[custo_real_acumulado]]</f>
        <v>63611.939999999995</v>
      </c>
      <c r="Q815" t="str">
        <f>IF(Tabela1[[#This Row],[data_fim_real]]="","",Tabela1[[#This Row],[data_fim_real]]-Tabela1[[#This Row],[data_inicio_real]])</f>
        <v/>
      </c>
    </row>
    <row r="816" spans="1:17" ht="16.5" x14ac:dyDescent="0.5">
      <c r="A816" t="s">
        <v>1897</v>
      </c>
      <c r="B816" t="s">
        <v>1898</v>
      </c>
      <c r="C816" t="s">
        <v>934</v>
      </c>
      <c r="D816" t="s">
        <v>58</v>
      </c>
      <c r="E816" t="s">
        <v>43</v>
      </c>
      <c r="F816" s="1">
        <v>46297</v>
      </c>
      <c r="G816" s="1">
        <v>46382</v>
      </c>
      <c r="H816" s="1">
        <v>46300</v>
      </c>
      <c r="I816" s="1"/>
      <c r="J816" s="2">
        <v>58181.75</v>
      </c>
      <c r="K816" s="2">
        <v>47478.01</v>
      </c>
      <c r="L816" s="2">
        <v>101802.75</v>
      </c>
      <c r="M816">
        <v>2162</v>
      </c>
      <c r="N816">
        <v>1436</v>
      </c>
      <c r="O816" t="s">
        <v>26</v>
      </c>
      <c r="P816" s="2">
        <f>Tabela1[[#This Row],[orcamento_aprovado]]-Tabela1[[#This Row],[custo_real_acumulado]]</f>
        <v>10703.739999999998</v>
      </c>
      <c r="Q816" t="str">
        <f>IF(Tabela1[[#This Row],[data_fim_real]]="","",Tabela1[[#This Row],[data_fim_real]]-Tabela1[[#This Row],[data_inicio_real]])</f>
        <v/>
      </c>
    </row>
    <row r="817" spans="1:17" ht="16.5" x14ac:dyDescent="0.5">
      <c r="A817" t="s">
        <v>1899</v>
      </c>
      <c r="B817" t="s">
        <v>1900</v>
      </c>
      <c r="C817" t="s">
        <v>622</v>
      </c>
      <c r="D817" t="s">
        <v>18</v>
      </c>
      <c r="E817" t="s">
        <v>42</v>
      </c>
      <c r="F817" s="1">
        <v>46254</v>
      </c>
      <c r="G817" s="1">
        <v>46332</v>
      </c>
      <c r="H817" s="1">
        <v>46259</v>
      </c>
      <c r="I817" s="1"/>
      <c r="J817" s="2">
        <v>386269.23</v>
      </c>
      <c r="K817" s="2">
        <v>216906.09</v>
      </c>
      <c r="L817" s="2">
        <v>526754.61</v>
      </c>
      <c r="M817">
        <v>1914</v>
      </c>
      <c r="N817">
        <v>914</v>
      </c>
      <c r="O817" t="s">
        <v>34</v>
      </c>
      <c r="P817" s="2">
        <f>Tabela1[[#This Row],[orcamento_aprovado]]-Tabela1[[#This Row],[custo_real_acumulado]]</f>
        <v>169363.13999999998</v>
      </c>
      <c r="Q817" t="str">
        <f>IF(Tabela1[[#This Row],[data_fim_real]]="","",Tabela1[[#This Row],[data_fim_real]]-Tabela1[[#This Row],[data_inicio_real]])</f>
        <v/>
      </c>
    </row>
    <row r="818" spans="1:17" ht="16.5" x14ac:dyDescent="0.5">
      <c r="A818" t="s">
        <v>1901</v>
      </c>
      <c r="B818" t="s">
        <v>1902</v>
      </c>
      <c r="C818" t="s">
        <v>419</v>
      </c>
      <c r="D818" t="s">
        <v>58</v>
      </c>
      <c r="E818" t="s">
        <v>20</v>
      </c>
      <c r="F818" s="1">
        <v>46339</v>
      </c>
      <c r="G818" s="1">
        <v>46387</v>
      </c>
      <c r="H818" s="1"/>
      <c r="I818" s="1"/>
      <c r="J818" s="2">
        <v>123952.47</v>
      </c>
      <c r="K818" s="2">
        <v>0</v>
      </c>
      <c r="L818" s="2">
        <v>57126.3</v>
      </c>
      <c r="M818">
        <v>1355</v>
      </c>
      <c r="N818">
        <v>0</v>
      </c>
      <c r="O818" t="s">
        <v>21</v>
      </c>
      <c r="P818" s="2">
        <f>Tabela1[[#This Row],[orcamento_aprovado]]-Tabela1[[#This Row],[custo_real_acumulado]]</f>
        <v>123952.47</v>
      </c>
      <c r="Q818" t="str">
        <f>IF(Tabela1[[#This Row],[data_fim_real]]="","",Tabela1[[#This Row],[data_fim_real]]-Tabela1[[#This Row],[data_inicio_real]])</f>
        <v/>
      </c>
    </row>
    <row r="819" spans="1:17" ht="16.5" x14ac:dyDescent="0.5">
      <c r="A819" t="s">
        <v>1903</v>
      </c>
      <c r="B819" t="s">
        <v>1904</v>
      </c>
      <c r="C819" t="s">
        <v>185</v>
      </c>
      <c r="D819" t="s">
        <v>54</v>
      </c>
      <c r="E819" t="s">
        <v>20</v>
      </c>
      <c r="F819" s="1">
        <v>46066</v>
      </c>
      <c r="G819" s="1">
        <v>46096</v>
      </c>
      <c r="H819" s="1">
        <v>46058</v>
      </c>
      <c r="I819" s="1">
        <v>46078</v>
      </c>
      <c r="J819" s="2">
        <v>158459.9</v>
      </c>
      <c r="K819" s="2">
        <v>192340.25</v>
      </c>
      <c r="L819" s="2">
        <v>296788.06</v>
      </c>
      <c r="M819">
        <v>822</v>
      </c>
      <c r="N819">
        <v>881</v>
      </c>
      <c r="O819" t="s">
        <v>26</v>
      </c>
      <c r="P819" s="2">
        <f>Tabela1[[#This Row],[orcamento_aprovado]]-Tabela1[[#This Row],[custo_real_acumulado]]</f>
        <v>-33880.350000000006</v>
      </c>
      <c r="Q819">
        <f>IF(Tabela1[[#This Row],[data_fim_real]]="","",Tabela1[[#This Row],[data_fim_real]]-Tabela1[[#This Row],[data_inicio_real]])</f>
        <v>20</v>
      </c>
    </row>
    <row r="820" spans="1:17" ht="16.5" x14ac:dyDescent="0.5">
      <c r="A820" t="s">
        <v>1905</v>
      </c>
      <c r="B820" t="s">
        <v>1906</v>
      </c>
      <c r="C820" t="s">
        <v>738</v>
      </c>
      <c r="D820" t="s">
        <v>25</v>
      </c>
      <c r="E820" t="s">
        <v>42</v>
      </c>
      <c r="F820" s="1">
        <v>46184</v>
      </c>
      <c r="G820" s="1">
        <v>46228</v>
      </c>
      <c r="H820" s="1">
        <v>46193</v>
      </c>
      <c r="I820" s="1"/>
      <c r="J820" s="2">
        <v>72461.02</v>
      </c>
      <c r="K820" s="2">
        <v>37843.32</v>
      </c>
      <c r="L820" s="2">
        <v>48275.94</v>
      </c>
      <c r="M820">
        <v>704</v>
      </c>
      <c r="N820">
        <v>461</v>
      </c>
      <c r="O820" t="s">
        <v>34</v>
      </c>
      <c r="P820" s="2">
        <f>Tabela1[[#This Row],[orcamento_aprovado]]-Tabela1[[#This Row],[custo_real_acumulado]]</f>
        <v>34617.700000000004</v>
      </c>
      <c r="Q820" t="str">
        <f>IF(Tabela1[[#This Row],[data_fim_real]]="","",Tabela1[[#This Row],[data_fim_real]]-Tabela1[[#This Row],[data_inicio_real]])</f>
        <v/>
      </c>
    </row>
    <row r="821" spans="1:17" ht="16.5" x14ac:dyDescent="0.5">
      <c r="A821" t="s">
        <v>1907</v>
      </c>
      <c r="B821" t="s">
        <v>1908</v>
      </c>
      <c r="C821" t="s">
        <v>1909</v>
      </c>
      <c r="D821" t="s">
        <v>58</v>
      </c>
      <c r="E821" t="s">
        <v>43</v>
      </c>
      <c r="F821" s="1">
        <v>46092</v>
      </c>
      <c r="G821" s="1">
        <v>46165</v>
      </c>
      <c r="H821" s="1">
        <v>46109</v>
      </c>
      <c r="I821" s="1"/>
      <c r="J821" s="2">
        <v>52274.95</v>
      </c>
      <c r="K821" s="2">
        <v>37988.65</v>
      </c>
      <c r="L821" s="2">
        <v>72118.3</v>
      </c>
      <c r="M821">
        <v>960</v>
      </c>
      <c r="N821">
        <v>538</v>
      </c>
      <c r="O821" t="s">
        <v>21</v>
      </c>
      <c r="P821" s="2">
        <f>Tabela1[[#This Row],[orcamento_aprovado]]-Tabela1[[#This Row],[custo_real_acumulado]]</f>
        <v>14286.299999999996</v>
      </c>
      <c r="Q821" t="str">
        <f>IF(Tabela1[[#This Row],[data_fim_real]]="","",Tabela1[[#This Row],[data_fim_real]]-Tabela1[[#This Row],[data_inicio_real]])</f>
        <v/>
      </c>
    </row>
    <row r="822" spans="1:17" ht="16.5" x14ac:dyDescent="0.5">
      <c r="A822" t="s">
        <v>1910</v>
      </c>
      <c r="B822" t="s">
        <v>1911</v>
      </c>
      <c r="C822" t="s">
        <v>1472</v>
      </c>
      <c r="D822" t="s">
        <v>33</v>
      </c>
      <c r="E822" t="s">
        <v>43</v>
      </c>
      <c r="F822" s="1">
        <v>46241</v>
      </c>
      <c r="G822" s="1">
        <v>46299</v>
      </c>
      <c r="H822" s="1">
        <v>46246</v>
      </c>
      <c r="I822" s="1"/>
      <c r="J822" s="2">
        <v>234463.12</v>
      </c>
      <c r="K822" s="2">
        <v>169339.69</v>
      </c>
      <c r="L822" s="2">
        <v>350483.7</v>
      </c>
      <c r="M822">
        <v>1170</v>
      </c>
      <c r="N822">
        <v>852</v>
      </c>
      <c r="O822" t="s">
        <v>26</v>
      </c>
      <c r="P822" s="2">
        <f>Tabela1[[#This Row],[orcamento_aprovado]]-Tabela1[[#This Row],[custo_real_acumulado]]</f>
        <v>65123.429999999993</v>
      </c>
      <c r="Q822" t="str">
        <f>IF(Tabela1[[#This Row],[data_fim_real]]="","",Tabela1[[#This Row],[data_fim_real]]-Tabela1[[#This Row],[data_inicio_real]])</f>
        <v/>
      </c>
    </row>
    <row r="823" spans="1:17" ht="16.5" x14ac:dyDescent="0.5">
      <c r="A823" t="s">
        <v>1912</v>
      </c>
      <c r="B823" t="s">
        <v>1913</v>
      </c>
      <c r="C823" t="s">
        <v>614</v>
      </c>
      <c r="D823" t="s">
        <v>50</v>
      </c>
      <c r="E823" t="s">
        <v>19</v>
      </c>
      <c r="F823" s="1">
        <v>46038</v>
      </c>
      <c r="G823" s="1">
        <v>46080</v>
      </c>
      <c r="H823" s="1">
        <v>46031</v>
      </c>
      <c r="I823" s="1"/>
      <c r="J823" s="2">
        <v>79596.11</v>
      </c>
      <c r="K823" s="2">
        <v>40770.57</v>
      </c>
      <c r="L823" s="2">
        <v>50255.39</v>
      </c>
      <c r="M823">
        <v>842</v>
      </c>
      <c r="N823">
        <v>440</v>
      </c>
      <c r="O823" t="s">
        <v>34</v>
      </c>
      <c r="P823" s="2">
        <f>Tabela1[[#This Row],[orcamento_aprovado]]-Tabela1[[#This Row],[custo_real_acumulado]]</f>
        <v>38825.54</v>
      </c>
      <c r="Q823" t="str">
        <f>IF(Tabela1[[#This Row],[data_fim_real]]="","",Tabela1[[#This Row],[data_fim_real]]-Tabela1[[#This Row],[data_inicio_real]])</f>
        <v/>
      </c>
    </row>
    <row r="824" spans="1:17" ht="16.5" x14ac:dyDescent="0.5">
      <c r="A824" t="s">
        <v>1914</v>
      </c>
      <c r="B824" t="s">
        <v>1915</v>
      </c>
      <c r="C824" t="s">
        <v>1702</v>
      </c>
      <c r="D824" t="s">
        <v>18</v>
      </c>
      <c r="E824" t="s">
        <v>43</v>
      </c>
      <c r="F824" s="1">
        <v>46213</v>
      </c>
      <c r="G824" s="1">
        <v>46342</v>
      </c>
      <c r="H824" s="1">
        <v>46200</v>
      </c>
      <c r="I824" s="1"/>
      <c r="J824" s="2">
        <v>50000</v>
      </c>
      <c r="K824" s="2">
        <v>23310.66</v>
      </c>
      <c r="L824" s="2">
        <v>59529.69</v>
      </c>
      <c r="M824">
        <v>4510</v>
      </c>
      <c r="N824">
        <v>2355</v>
      </c>
      <c r="O824" t="s">
        <v>21</v>
      </c>
      <c r="P824" s="2">
        <f>Tabela1[[#This Row],[orcamento_aprovado]]-Tabela1[[#This Row],[custo_real_acumulado]]</f>
        <v>26689.34</v>
      </c>
      <c r="Q824" t="str">
        <f>IF(Tabela1[[#This Row],[data_fim_real]]="","",Tabela1[[#This Row],[data_fim_real]]-Tabela1[[#This Row],[data_inicio_real]])</f>
        <v/>
      </c>
    </row>
    <row r="825" spans="1:17" ht="16.5" x14ac:dyDescent="0.5">
      <c r="A825" t="s">
        <v>1916</v>
      </c>
      <c r="B825" t="s">
        <v>1917</v>
      </c>
      <c r="C825" t="s">
        <v>1918</v>
      </c>
      <c r="D825" t="s">
        <v>50</v>
      </c>
      <c r="E825" t="s">
        <v>43</v>
      </c>
      <c r="F825" s="1">
        <v>46062</v>
      </c>
      <c r="G825" s="1">
        <v>46116</v>
      </c>
      <c r="H825" s="1">
        <v>46068</v>
      </c>
      <c r="I825" s="1"/>
      <c r="J825" s="2">
        <v>106833.15</v>
      </c>
      <c r="K825" s="2">
        <v>8792.57</v>
      </c>
      <c r="L825" s="2">
        <v>58643.67</v>
      </c>
      <c r="M825">
        <v>1178</v>
      </c>
      <c r="N825">
        <v>89</v>
      </c>
      <c r="O825" t="s">
        <v>26</v>
      </c>
      <c r="P825" s="2">
        <f>Tabela1[[#This Row],[orcamento_aprovado]]-Tabela1[[#This Row],[custo_real_acumulado]]</f>
        <v>98040.579999999987</v>
      </c>
      <c r="Q825" t="str">
        <f>IF(Tabela1[[#This Row],[data_fim_real]]="","",Tabela1[[#This Row],[data_fim_real]]-Tabela1[[#This Row],[data_inicio_real]])</f>
        <v/>
      </c>
    </row>
    <row r="826" spans="1:17" ht="16.5" x14ac:dyDescent="0.5">
      <c r="A826" t="s">
        <v>1919</v>
      </c>
      <c r="B826" t="s">
        <v>1920</v>
      </c>
      <c r="C826" t="s">
        <v>230</v>
      </c>
      <c r="D826" t="s">
        <v>78</v>
      </c>
      <c r="E826" t="s">
        <v>43</v>
      </c>
      <c r="F826" s="1">
        <v>46163</v>
      </c>
      <c r="G826" s="1">
        <v>46262</v>
      </c>
      <c r="H826" s="1"/>
      <c r="I826" s="1"/>
      <c r="J826" s="2">
        <v>71778.37</v>
      </c>
      <c r="K826" s="2">
        <v>0</v>
      </c>
      <c r="L826" s="2">
        <v>140985.84</v>
      </c>
      <c r="M826">
        <v>2041</v>
      </c>
      <c r="N826">
        <v>0</v>
      </c>
      <c r="O826" t="s">
        <v>34</v>
      </c>
      <c r="P826" s="2">
        <f>Tabela1[[#This Row],[orcamento_aprovado]]-Tabela1[[#This Row],[custo_real_acumulado]]</f>
        <v>71778.37</v>
      </c>
      <c r="Q826" t="str">
        <f>IF(Tabela1[[#This Row],[data_fim_real]]="","",Tabela1[[#This Row],[data_fim_real]]-Tabela1[[#This Row],[data_inicio_real]])</f>
        <v/>
      </c>
    </row>
    <row r="827" spans="1:17" ht="16.5" x14ac:dyDescent="0.5">
      <c r="A827" t="s">
        <v>1921</v>
      </c>
      <c r="B827" t="s">
        <v>1922</v>
      </c>
      <c r="C827" t="s">
        <v>756</v>
      </c>
      <c r="D827" t="s">
        <v>78</v>
      </c>
      <c r="E827" t="s">
        <v>19</v>
      </c>
      <c r="F827" s="1">
        <v>46343</v>
      </c>
      <c r="G827" s="1">
        <v>46387</v>
      </c>
      <c r="H827" s="1"/>
      <c r="I827" s="1"/>
      <c r="J827" s="2">
        <v>259920.96</v>
      </c>
      <c r="K827" s="2">
        <v>0</v>
      </c>
      <c r="L827" s="2">
        <v>204952.32000000001</v>
      </c>
      <c r="M827">
        <v>1305</v>
      </c>
      <c r="N827">
        <v>0</v>
      </c>
      <c r="O827" t="s">
        <v>21</v>
      </c>
      <c r="P827" s="2">
        <f>Tabela1[[#This Row],[orcamento_aprovado]]-Tabela1[[#This Row],[custo_real_acumulado]]</f>
        <v>259920.96</v>
      </c>
      <c r="Q827" t="str">
        <f>IF(Tabela1[[#This Row],[data_fim_real]]="","",Tabela1[[#This Row],[data_fim_real]]-Tabela1[[#This Row],[data_inicio_real]])</f>
        <v/>
      </c>
    </row>
    <row r="828" spans="1:17" ht="16.5" x14ac:dyDescent="0.5">
      <c r="A828" t="s">
        <v>1923</v>
      </c>
      <c r="B828" t="s">
        <v>1924</v>
      </c>
      <c r="C828" t="s">
        <v>996</v>
      </c>
      <c r="D828" t="s">
        <v>54</v>
      </c>
      <c r="E828" t="s">
        <v>20</v>
      </c>
      <c r="F828" s="1">
        <v>46152</v>
      </c>
      <c r="G828" s="1">
        <v>46227</v>
      </c>
      <c r="H828" s="1"/>
      <c r="I828" s="1"/>
      <c r="J828" s="2">
        <v>54004.58</v>
      </c>
      <c r="K828" s="2">
        <v>0</v>
      </c>
      <c r="L828" s="2">
        <v>85177.55</v>
      </c>
      <c r="M828">
        <v>2366</v>
      </c>
      <c r="N828">
        <v>0</v>
      </c>
      <c r="O828" t="s">
        <v>26</v>
      </c>
      <c r="P828" s="2">
        <f>Tabela1[[#This Row],[orcamento_aprovado]]-Tabela1[[#This Row],[custo_real_acumulado]]</f>
        <v>54004.58</v>
      </c>
      <c r="Q828" t="str">
        <f>IF(Tabela1[[#This Row],[data_fim_real]]="","",Tabela1[[#This Row],[data_fim_real]]-Tabela1[[#This Row],[data_inicio_real]])</f>
        <v/>
      </c>
    </row>
    <row r="829" spans="1:17" ht="16.5" x14ac:dyDescent="0.5">
      <c r="A829" t="s">
        <v>1925</v>
      </c>
      <c r="B829" t="s">
        <v>1926</v>
      </c>
      <c r="C829" t="s">
        <v>376</v>
      </c>
      <c r="D829" t="s">
        <v>58</v>
      </c>
      <c r="E829" t="s">
        <v>19</v>
      </c>
      <c r="F829" s="1">
        <v>46147</v>
      </c>
      <c r="G829" s="1">
        <v>46244</v>
      </c>
      <c r="H829" s="1">
        <v>46140</v>
      </c>
      <c r="I829" s="1"/>
      <c r="J829" s="2">
        <v>144320.76999999999</v>
      </c>
      <c r="K829" s="2">
        <v>100468.46</v>
      </c>
      <c r="L829" s="2">
        <v>194919.5</v>
      </c>
      <c r="M829">
        <v>2113</v>
      </c>
      <c r="N829">
        <v>1727</v>
      </c>
      <c r="O829" t="s">
        <v>34</v>
      </c>
      <c r="P829" s="2">
        <f>Tabela1[[#This Row],[orcamento_aprovado]]-Tabela1[[#This Row],[custo_real_acumulado]]</f>
        <v>43852.309999999983</v>
      </c>
      <c r="Q829" t="str">
        <f>IF(Tabela1[[#This Row],[data_fim_real]]="","",Tabela1[[#This Row],[data_fim_real]]-Tabela1[[#This Row],[data_inicio_real]])</f>
        <v/>
      </c>
    </row>
    <row r="830" spans="1:17" ht="16.5" x14ac:dyDescent="0.5">
      <c r="A830" t="s">
        <v>1927</v>
      </c>
      <c r="B830" t="s">
        <v>1928</v>
      </c>
      <c r="C830" t="s">
        <v>327</v>
      </c>
      <c r="D830" t="s">
        <v>58</v>
      </c>
      <c r="E830" t="s">
        <v>19</v>
      </c>
      <c r="F830" s="1">
        <v>46132</v>
      </c>
      <c r="G830" s="1">
        <v>46146</v>
      </c>
      <c r="H830" s="1">
        <v>46137</v>
      </c>
      <c r="I830" s="1"/>
      <c r="J830" s="2">
        <v>151712.70000000001</v>
      </c>
      <c r="K830" s="2">
        <v>48189.2</v>
      </c>
      <c r="L830" s="2">
        <v>301514.59000000003</v>
      </c>
      <c r="M830">
        <v>171</v>
      </c>
      <c r="N830">
        <v>50</v>
      </c>
      <c r="O830" t="s">
        <v>21</v>
      </c>
      <c r="P830" s="2">
        <f>Tabela1[[#This Row],[orcamento_aprovado]]-Tabela1[[#This Row],[custo_real_acumulado]]</f>
        <v>103523.50000000001</v>
      </c>
      <c r="Q830" t="str">
        <f>IF(Tabela1[[#This Row],[data_fim_real]]="","",Tabela1[[#This Row],[data_fim_real]]-Tabela1[[#This Row],[data_inicio_real]])</f>
        <v/>
      </c>
    </row>
    <row r="831" spans="1:17" ht="16.5" x14ac:dyDescent="0.5">
      <c r="A831" t="s">
        <v>1929</v>
      </c>
      <c r="B831" t="s">
        <v>1930</v>
      </c>
      <c r="C831" t="s">
        <v>361</v>
      </c>
      <c r="D831" t="s">
        <v>142</v>
      </c>
      <c r="E831" t="s">
        <v>43</v>
      </c>
      <c r="F831" s="1">
        <v>46372</v>
      </c>
      <c r="G831" s="1">
        <v>46386</v>
      </c>
      <c r="H831" s="1">
        <v>46386</v>
      </c>
      <c r="I831" s="1"/>
      <c r="J831" s="2">
        <v>116772.56</v>
      </c>
      <c r="K831" s="2">
        <v>65773.929999999993</v>
      </c>
      <c r="L831" s="2">
        <v>204401.54</v>
      </c>
      <c r="M831">
        <v>315</v>
      </c>
      <c r="N831">
        <v>224</v>
      </c>
      <c r="O831" t="s">
        <v>26</v>
      </c>
      <c r="P831" s="2">
        <f>Tabela1[[#This Row],[orcamento_aprovado]]-Tabela1[[#This Row],[custo_real_acumulado]]</f>
        <v>50998.630000000005</v>
      </c>
      <c r="Q831" t="str">
        <f>IF(Tabela1[[#This Row],[data_fim_real]]="","",Tabela1[[#This Row],[data_fim_real]]-Tabela1[[#This Row],[data_inicio_real]])</f>
        <v/>
      </c>
    </row>
    <row r="832" spans="1:17" ht="16.5" x14ac:dyDescent="0.5">
      <c r="A832" t="s">
        <v>1931</v>
      </c>
      <c r="B832" t="s">
        <v>1932</v>
      </c>
      <c r="C832" t="s">
        <v>32</v>
      </c>
      <c r="D832" t="s">
        <v>142</v>
      </c>
      <c r="E832" t="s">
        <v>19</v>
      </c>
      <c r="F832" s="1">
        <v>46114</v>
      </c>
      <c r="G832" s="1">
        <v>46184</v>
      </c>
      <c r="H832" s="1">
        <v>46110</v>
      </c>
      <c r="I832" s="1"/>
      <c r="J832" s="2">
        <v>104947.39</v>
      </c>
      <c r="K832" s="2">
        <v>95693.89</v>
      </c>
      <c r="L832" s="2">
        <v>225059.98</v>
      </c>
      <c r="M832">
        <v>742</v>
      </c>
      <c r="N832">
        <v>441</v>
      </c>
      <c r="O832" t="s">
        <v>34</v>
      </c>
      <c r="P832" s="2">
        <f>Tabela1[[#This Row],[orcamento_aprovado]]-Tabela1[[#This Row],[custo_real_acumulado]]</f>
        <v>9253.5</v>
      </c>
      <c r="Q832" t="str">
        <f>IF(Tabela1[[#This Row],[data_fim_real]]="","",Tabela1[[#This Row],[data_fim_real]]-Tabela1[[#This Row],[data_inicio_real]])</f>
        <v/>
      </c>
    </row>
    <row r="833" spans="1:17" ht="16.5" x14ac:dyDescent="0.5">
      <c r="A833" t="s">
        <v>1933</v>
      </c>
      <c r="B833" t="s">
        <v>1934</v>
      </c>
      <c r="C833" t="s">
        <v>37</v>
      </c>
      <c r="D833" t="s">
        <v>58</v>
      </c>
      <c r="E833" t="s">
        <v>42</v>
      </c>
      <c r="F833" s="1">
        <v>46292</v>
      </c>
      <c r="G833" s="1">
        <v>46387</v>
      </c>
      <c r="H833" s="1">
        <v>46304</v>
      </c>
      <c r="I833" s="1"/>
      <c r="J833" s="2">
        <v>354508.9</v>
      </c>
      <c r="K833" s="2">
        <v>134060.94</v>
      </c>
      <c r="L833" s="2">
        <v>709645.81</v>
      </c>
      <c r="M833">
        <v>2044</v>
      </c>
      <c r="N833">
        <v>914</v>
      </c>
      <c r="O833" t="s">
        <v>21</v>
      </c>
      <c r="P833" s="2">
        <f>Tabela1[[#This Row],[orcamento_aprovado]]-Tabela1[[#This Row],[custo_real_acumulado]]</f>
        <v>220447.96000000002</v>
      </c>
      <c r="Q833" t="str">
        <f>IF(Tabela1[[#This Row],[data_fim_real]]="","",Tabela1[[#This Row],[data_fim_real]]-Tabela1[[#This Row],[data_inicio_real]])</f>
        <v/>
      </c>
    </row>
    <row r="834" spans="1:17" ht="16.5" x14ac:dyDescent="0.5">
      <c r="A834" t="s">
        <v>1935</v>
      </c>
      <c r="B834" t="s">
        <v>1936</v>
      </c>
      <c r="C834" t="s">
        <v>151</v>
      </c>
      <c r="D834" t="s">
        <v>18</v>
      </c>
      <c r="E834" t="s">
        <v>43</v>
      </c>
      <c r="F834" s="1">
        <v>46124</v>
      </c>
      <c r="G834" s="1">
        <v>46204</v>
      </c>
      <c r="H834" s="1">
        <v>46120</v>
      </c>
      <c r="I834" s="1"/>
      <c r="J834" s="2">
        <v>50000</v>
      </c>
      <c r="K834" s="2">
        <v>22103.93</v>
      </c>
      <c r="L834" s="2">
        <v>101990.68</v>
      </c>
      <c r="M834">
        <v>1584</v>
      </c>
      <c r="N834">
        <v>654</v>
      </c>
      <c r="O834" t="s">
        <v>26</v>
      </c>
      <c r="P834" s="2">
        <f>Tabela1[[#This Row],[orcamento_aprovado]]-Tabela1[[#This Row],[custo_real_acumulado]]</f>
        <v>27896.07</v>
      </c>
      <c r="Q834" t="str">
        <f>IF(Tabela1[[#This Row],[data_fim_real]]="","",Tabela1[[#This Row],[data_fim_real]]-Tabela1[[#This Row],[data_inicio_real]])</f>
        <v/>
      </c>
    </row>
    <row r="835" spans="1:17" ht="16.5" x14ac:dyDescent="0.5">
      <c r="A835" t="s">
        <v>1937</v>
      </c>
      <c r="B835" t="s">
        <v>1938</v>
      </c>
      <c r="C835" t="s">
        <v>74</v>
      </c>
      <c r="D835" t="s">
        <v>71</v>
      </c>
      <c r="E835" t="s">
        <v>42</v>
      </c>
      <c r="F835" s="1">
        <v>46291</v>
      </c>
      <c r="G835" s="1">
        <v>46359</v>
      </c>
      <c r="H835" s="1">
        <v>46301</v>
      </c>
      <c r="I835" s="1">
        <v>46369</v>
      </c>
      <c r="J835" s="2">
        <v>83455.91</v>
      </c>
      <c r="K835" s="2">
        <v>29017.88</v>
      </c>
      <c r="L835" s="2">
        <v>67131.86</v>
      </c>
      <c r="M835">
        <v>868</v>
      </c>
      <c r="N835">
        <v>245</v>
      </c>
      <c r="O835" t="s">
        <v>34</v>
      </c>
      <c r="P835" s="2">
        <f>Tabela1[[#This Row],[orcamento_aprovado]]-Tabela1[[#This Row],[custo_real_acumulado]]</f>
        <v>54438.03</v>
      </c>
      <c r="Q835">
        <f>IF(Tabela1[[#This Row],[data_fim_real]]="","",Tabela1[[#This Row],[data_fim_real]]-Tabela1[[#This Row],[data_inicio_real]])</f>
        <v>68</v>
      </c>
    </row>
    <row r="836" spans="1:17" ht="16.5" x14ac:dyDescent="0.5">
      <c r="A836" t="s">
        <v>1939</v>
      </c>
      <c r="B836" t="s">
        <v>1940</v>
      </c>
      <c r="C836" t="s">
        <v>124</v>
      </c>
      <c r="D836" t="s">
        <v>50</v>
      </c>
      <c r="E836" t="s">
        <v>20</v>
      </c>
      <c r="F836" s="1">
        <v>46158</v>
      </c>
      <c r="G836" s="1">
        <v>46211</v>
      </c>
      <c r="H836" s="1">
        <v>46173</v>
      </c>
      <c r="I836" s="1"/>
      <c r="J836" s="2">
        <v>77780.070000000007</v>
      </c>
      <c r="K836" s="2">
        <v>38632.120000000003</v>
      </c>
      <c r="L836" s="2">
        <v>66017.850000000006</v>
      </c>
      <c r="M836">
        <v>813</v>
      </c>
      <c r="N836">
        <v>350</v>
      </c>
      <c r="O836" t="s">
        <v>21</v>
      </c>
      <c r="P836" s="2">
        <f>Tabela1[[#This Row],[orcamento_aprovado]]-Tabela1[[#This Row],[custo_real_acumulado]]</f>
        <v>39147.950000000004</v>
      </c>
      <c r="Q836" t="str">
        <f>IF(Tabela1[[#This Row],[data_fim_real]]="","",Tabela1[[#This Row],[data_fim_real]]-Tabela1[[#This Row],[data_inicio_real]])</f>
        <v/>
      </c>
    </row>
    <row r="837" spans="1:17" ht="16.5" x14ac:dyDescent="0.5">
      <c r="A837" t="s">
        <v>1941</v>
      </c>
      <c r="B837" t="s">
        <v>1942</v>
      </c>
      <c r="C837" t="s">
        <v>433</v>
      </c>
      <c r="D837" t="s">
        <v>54</v>
      </c>
      <c r="E837" t="s">
        <v>20</v>
      </c>
      <c r="F837" s="1">
        <v>46317</v>
      </c>
      <c r="G837" s="1">
        <v>46387</v>
      </c>
      <c r="H837" s="1">
        <v>46309</v>
      </c>
      <c r="I837" s="1">
        <v>46387</v>
      </c>
      <c r="J837" s="2">
        <v>201026.13</v>
      </c>
      <c r="K837" s="2">
        <v>188843.85</v>
      </c>
      <c r="L837" s="2">
        <v>383899.2</v>
      </c>
      <c r="M837">
        <v>667</v>
      </c>
      <c r="N837">
        <v>768</v>
      </c>
      <c r="O837" t="s">
        <v>26</v>
      </c>
      <c r="P837" s="2">
        <f>Tabela1[[#This Row],[orcamento_aprovado]]-Tabela1[[#This Row],[custo_real_acumulado]]</f>
        <v>12182.279999999999</v>
      </c>
      <c r="Q837">
        <f>IF(Tabela1[[#This Row],[data_fim_real]]="","",Tabela1[[#This Row],[data_fim_real]]-Tabela1[[#This Row],[data_inicio_real]])</f>
        <v>78</v>
      </c>
    </row>
    <row r="838" spans="1:17" ht="16.5" x14ac:dyDescent="0.5">
      <c r="A838" t="s">
        <v>1943</v>
      </c>
      <c r="B838" t="s">
        <v>1944</v>
      </c>
      <c r="C838" t="s">
        <v>265</v>
      </c>
      <c r="D838" t="s">
        <v>58</v>
      </c>
      <c r="E838" t="s">
        <v>20</v>
      </c>
      <c r="F838" s="1">
        <v>46070</v>
      </c>
      <c r="G838" s="1">
        <v>46201</v>
      </c>
      <c r="H838" s="1">
        <v>46072</v>
      </c>
      <c r="I838" s="1"/>
      <c r="J838" s="2">
        <v>61216.79</v>
      </c>
      <c r="K838" s="2">
        <v>38582.22</v>
      </c>
      <c r="L838" s="2">
        <v>58771.48</v>
      </c>
      <c r="M838">
        <v>3293</v>
      </c>
      <c r="N838">
        <v>1700</v>
      </c>
      <c r="O838" t="s">
        <v>34</v>
      </c>
      <c r="P838" s="2">
        <f>Tabela1[[#This Row],[orcamento_aprovado]]-Tabela1[[#This Row],[custo_real_acumulado]]</f>
        <v>22634.57</v>
      </c>
      <c r="Q838" t="str">
        <f>IF(Tabela1[[#This Row],[data_fim_real]]="","",Tabela1[[#This Row],[data_fim_real]]-Tabela1[[#This Row],[data_inicio_real]])</f>
        <v/>
      </c>
    </row>
    <row r="839" spans="1:17" ht="16.5" x14ac:dyDescent="0.5">
      <c r="A839" t="s">
        <v>1945</v>
      </c>
      <c r="B839" t="s">
        <v>1946</v>
      </c>
      <c r="C839" t="s">
        <v>745</v>
      </c>
      <c r="D839" t="s">
        <v>38</v>
      </c>
      <c r="E839" t="s">
        <v>42</v>
      </c>
      <c r="F839" s="1">
        <v>46088</v>
      </c>
      <c r="G839" s="1">
        <v>46135</v>
      </c>
      <c r="H839" s="1">
        <v>46085</v>
      </c>
      <c r="I839" s="1"/>
      <c r="J839" s="2">
        <v>363549.55</v>
      </c>
      <c r="K839" s="2">
        <v>125988.27</v>
      </c>
      <c r="L839" s="2">
        <v>482909.84</v>
      </c>
      <c r="M839">
        <v>1769</v>
      </c>
      <c r="N839">
        <v>583</v>
      </c>
      <c r="O839" t="s">
        <v>21</v>
      </c>
      <c r="P839" s="2">
        <f>Tabela1[[#This Row],[orcamento_aprovado]]-Tabela1[[#This Row],[custo_real_acumulado]]</f>
        <v>237561.27999999997</v>
      </c>
      <c r="Q839" t="str">
        <f>IF(Tabela1[[#This Row],[data_fim_real]]="","",Tabela1[[#This Row],[data_fim_real]]-Tabela1[[#This Row],[data_inicio_real]])</f>
        <v/>
      </c>
    </row>
    <row r="840" spans="1:17" ht="16.5" x14ac:dyDescent="0.5">
      <c r="A840" t="s">
        <v>1947</v>
      </c>
      <c r="B840" t="s">
        <v>1948</v>
      </c>
      <c r="C840" t="s">
        <v>1361</v>
      </c>
      <c r="D840" t="s">
        <v>142</v>
      </c>
      <c r="E840" t="s">
        <v>20</v>
      </c>
      <c r="F840" s="1">
        <v>46074</v>
      </c>
      <c r="G840" s="1">
        <v>46170</v>
      </c>
      <c r="H840" s="1">
        <v>46087</v>
      </c>
      <c r="I840" s="1"/>
      <c r="J840" s="2">
        <v>152714.74</v>
      </c>
      <c r="K840" s="2">
        <v>53664.59</v>
      </c>
      <c r="L840" s="2">
        <v>77877.27</v>
      </c>
      <c r="M840">
        <v>1033</v>
      </c>
      <c r="N840">
        <v>457</v>
      </c>
      <c r="O840" t="s">
        <v>26</v>
      </c>
      <c r="P840" s="2">
        <f>Tabela1[[#This Row],[orcamento_aprovado]]-Tabela1[[#This Row],[custo_real_acumulado]]</f>
        <v>99050.15</v>
      </c>
      <c r="Q840" t="str">
        <f>IF(Tabela1[[#This Row],[data_fim_real]]="","",Tabela1[[#This Row],[data_fim_real]]-Tabela1[[#This Row],[data_inicio_real]])</f>
        <v/>
      </c>
    </row>
    <row r="841" spans="1:17" ht="16.5" x14ac:dyDescent="0.5">
      <c r="A841" t="s">
        <v>1949</v>
      </c>
      <c r="B841" t="s">
        <v>1950</v>
      </c>
      <c r="C841" t="s">
        <v>1496</v>
      </c>
      <c r="D841" t="s">
        <v>71</v>
      </c>
      <c r="E841" t="s">
        <v>19</v>
      </c>
      <c r="F841" s="1">
        <v>46158</v>
      </c>
      <c r="G841" s="1">
        <v>46185</v>
      </c>
      <c r="H841" s="1">
        <v>46161</v>
      </c>
      <c r="I841" s="1"/>
      <c r="J841" s="2">
        <v>316611.76</v>
      </c>
      <c r="K841" s="2">
        <v>157118.48000000001</v>
      </c>
      <c r="L841" s="2">
        <v>533664.15</v>
      </c>
      <c r="M841">
        <v>718</v>
      </c>
      <c r="N841">
        <v>354</v>
      </c>
      <c r="O841" t="s">
        <v>34</v>
      </c>
      <c r="P841" s="2">
        <f>Tabela1[[#This Row],[orcamento_aprovado]]-Tabela1[[#This Row],[custo_real_acumulado]]</f>
        <v>159493.28</v>
      </c>
      <c r="Q841" t="str">
        <f>IF(Tabela1[[#This Row],[data_fim_real]]="","",Tabela1[[#This Row],[data_fim_real]]-Tabela1[[#This Row],[data_inicio_real]])</f>
        <v/>
      </c>
    </row>
    <row r="842" spans="1:17" ht="16.5" x14ac:dyDescent="0.5">
      <c r="A842" t="s">
        <v>1951</v>
      </c>
      <c r="B842" t="s">
        <v>1952</v>
      </c>
      <c r="C842" t="s">
        <v>971</v>
      </c>
      <c r="D842" t="s">
        <v>50</v>
      </c>
      <c r="E842" t="s">
        <v>43</v>
      </c>
      <c r="F842" s="1">
        <v>46086</v>
      </c>
      <c r="G842" s="1">
        <v>46146</v>
      </c>
      <c r="H842" s="1">
        <v>46079</v>
      </c>
      <c r="I842" s="1"/>
      <c r="J842" s="2">
        <v>71520.06</v>
      </c>
      <c r="K842" s="2">
        <v>65961.33</v>
      </c>
      <c r="L842" s="2">
        <v>68938.740000000005</v>
      </c>
      <c r="M842">
        <v>891</v>
      </c>
      <c r="N842">
        <v>771</v>
      </c>
      <c r="O842" t="s">
        <v>21</v>
      </c>
      <c r="P842" s="2">
        <f>Tabela1[[#This Row],[orcamento_aprovado]]-Tabela1[[#This Row],[custo_real_acumulado]]</f>
        <v>5558.7299999999959</v>
      </c>
      <c r="Q842" t="str">
        <f>IF(Tabela1[[#This Row],[data_fim_real]]="","",Tabela1[[#This Row],[data_fim_real]]-Tabela1[[#This Row],[data_inicio_real]])</f>
        <v/>
      </c>
    </row>
    <row r="843" spans="1:17" ht="16.5" x14ac:dyDescent="0.5">
      <c r="A843" t="s">
        <v>1953</v>
      </c>
      <c r="B843" t="s">
        <v>1954</v>
      </c>
      <c r="C843" t="s">
        <v>41</v>
      </c>
      <c r="D843" t="s">
        <v>78</v>
      </c>
      <c r="E843" t="s">
        <v>42</v>
      </c>
      <c r="F843" s="1">
        <v>46107</v>
      </c>
      <c r="G843" s="1">
        <v>46166</v>
      </c>
      <c r="H843" s="1">
        <v>46107</v>
      </c>
      <c r="I843" s="1"/>
      <c r="J843" s="2">
        <v>149370.09</v>
      </c>
      <c r="K843" s="2">
        <v>141363.35</v>
      </c>
      <c r="L843" s="2">
        <v>217031.71</v>
      </c>
      <c r="M843">
        <v>405</v>
      </c>
      <c r="N843">
        <v>372</v>
      </c>
      <c r="O843" t="s">
        <v>26</v>
      </c>
      <c r="P843" s="2">
        <f>Tabela1[[#This Row],[orcamento_aprovado]]-Tabela1[[#This Row],[custo_real_acumulado]]</f>
        <v>8006.7399999999907</v>
      </c>
      <c r="Q843" t="str">
        <f>IF(Tabela1[[#This Row],[data_fim_real]]="","",Tabela1[[#This Row],[data_fim_real]]-Tabela1[[#This Row],[data_inicio_real]])</f>
        <v/>
      </c>
    </row>
    <row r="844" spans="1:17" ht="16.5" x14ac:dyDescent="0.5">
      <c r="A844" t="s">
        <v>1955</v>
      </c>
      <c r="B844" t="s">
        <v>1956</v>
      </c>
      <c r="C844" t="s">
        <v>240</v>
      </c>
      <c r="D844" t="s">
        <v>54</v>
      </c>
      <c r="E844" t="s">
        <v>43</v>
      </c>
      <c r="F844" s="1">
        <v>46312</v>
      </c>
      <c r="G844" s="1">
        <v>46371</v>
      </c>
      <c r="H844" s="1">
        <v>46311</v>
      </c>
      <c r="I844" s="1"/>
      <c r="J844" s="2">
        <v>220288.36</v>
      </c>
      <c r="K844" s="2">
        <v>61960.21</v>
      </c>
      <c r="L844" s="2">
        <v>199764.05</v>
      </c>
      <c r="M844">
        <v>1881</v>
      </c>
      <c r="N844">
        <v>443</v>
      </c>
      <c r="O844" t="s">
        <v>34</v>
      </c>
      <c r="P844" s="2">
        <f>Tabela1[[#This Row],[orcamento_aprovado]]-Tabela1[[#This Row],[custo_real_acumulado]]</f>
        <v>158328.15</v>
      </c>
      <c r="Q844" t="str">
        <f>IF(Tabela1[[#This Row],[data_fim_real]]="","",Tabela1[[#This Row],[data_fim_real]]-Tabela1[[#This Row],[data_inicio_real]])</f>
        <v/>
      </c>
    </row>
    <row r="845" spans="1:17" ht="16.5" x14ac:dyDescent="0.5">
      <c r="A845" t="s">
        <v>1957</v>
      </c>
      <c r="B845" t="s">
        <v>1958</v>
      </c>
      <c r="C845" t="s">
        <v>240</v>
      </c>
      <c r="D845" t="s">
        <v>54</v>
      </c>
      <c r="E845" t="s">
        <v>43</v>
      </c>
      <c r="F845" s="1">
        <v>46034</v>
      </c>
      <c r="G845" s="1">
        <v>46095</v>
      </c>
      <c r="H845" s="1">
        <v>46023</v>
      </c>
      <c r="I845" s="1">
        <v>46059</v>
      </c>
      <c r="J845" s="2">
        <v>50000</v>
      </c>
      <c r="K845" s="2">
        <v>43722.92</v>
      </c>
      <c r="L845" s="2">
        <v>61486.43</v>
      </c>
      <c r="M845">
        <v>945</v>
      </c>
      <c r="N845">
        <v>1046</v>
      </c>
      <c r="O845" t="s">
        <v>21</v>
      </c>
      <c r="P845" s="2">
        <f>Tabela1[[#This Row],[orcamento_aprovado]]-Tabela1[[#This Row],[custo_real_acumulado]]</f>
        <v>6277.0800000000017</v>
      </c>
      <c r="Q845">
        <f>IF(Tabela1[[#This Row],[data_fim_real]]="","",Tabela1[[#This Row],[data_fim_real]]-Tabela1[[#This Row],[data_inicio_real]])</f>
        <v>36</v>
      </c>
    </row>
    <row r="846" spans="1:17" ht="16.5" x14ac:dyDescent="0.5">
      <c r="A846" t="s">
        <v>1959</v>
      </c>
      <c r="B846" t="s">
        <v>1960</v>
      </c>
      <c r="C846" t="s">
        <v>1627</v>
      </c>
      <c r="D846" t="s">
        <v>50</v>
      </c>
      <c r="E846" t="s">
        <v>43</v>
      </c>
      <c r="F846" s="1">
        <v>46355</v>
      </c>
      <c r="G846" s="1">
        <v>46387</v>
      </c>
      <c r="H846" s="1">
        <v>46362</v>
      </c>
      <c r="I846" s="1"/>
      <c r="J846" s="2">
        <v>60043.3</v>
      </c>
      <c r="K846" s="2">
        <v>49544.79</v>
      </c>
      <c r="L846" s="2">
        <v>20728.84</v>
      </c>
      <c r="M846">
        <v>761</v>
      </c>
      <c r="N846">
        <v>567</v>
      </c>
      <c r="O846" t="s">
        <v>26</v>
      </c>
      <c r="P846" s="2">
        <f>Tabela1[[#This Row],[orcamento_aprovado]]-Tabela1[[#This Row],[custo_real_acumulado]]</f>
        <v>10498.510000000002</v>
      </c>
      <c r="Q846" t="str">
        <f>IF(Tabela1[[#This Row],[data_fim_real]]="","",Tabela1[[#This Row],[data_fim_real]]-Tabela1[[#This Row],[data_inicio_real]])</f>
        <v/>
      </c>
    </row>
    <row r="847" spans="1:17" ht="16.5" x14ac:dyDescent="0.5">
      <c r="A847" t="s">
        <v>1961</v>
      </c>
      <c r="B847" t="s">
        <v>1962</v>
      </c>
      <c r="C847" t="s">
        <v>154</v>
      </c>
      <c r="D847" t="s">
        <v>38</v>
      </c>
      <c r="E847" t="s">
        <v>20</v>
      </c>
      <c r="F847" s="1">
        <v>46206</v>
      </c>
      <c r="G847" s="1">
        <v>46258</v>
      </c>
      <c r="H847" s="1">
        <v>46208</v>
      </c>
      <c r="I847" s="1"/>
      <c r="J847" s="2">
        <v>791287.29</v>
      </c>
      <c r="K847" s="2">
        <v>360660.81</v>
      </c>
      <c r="L847" s="2">
        <v>239979.36</v>
      </c>
      <c r="M847">
        <v>2199</v>
      </c>
      <c r="N847">
        <v>1309</v>
      </c>
      <c r="O847" t="s">
        <v>34</v>
      </c>
      <c r="P847" s="2">
        <f>Tabela1[[#This Row],[orcamento_aprovado]]-Tabela1[[#This Row],[custo_real_acumulado]]</f>
        <v>430626.48000000004</v>
      </c>
      <c r="Q847" t="str">
        <f>IF(Tabela1[[#This Row],[data_fim_real]]="","",Tabela1[[#This Row],[data_fim_real]]-Tabela1[[#This Row],[data_inicio_real]])</f>
        <v/>
      </c>
    </row>
    <row r="848" spans="1:17" ht="16.5" x14ac:dyDescent="0.5">
      <c r="A848" t="s">
        <v>1963</v>
      </c>
      <c r="B848" t="s">
        <v>1964</v>
      </c>
      <c r="C848" t="s">
        <v>877</v>
      </c>
      <c r="D848" t="s">
        <v>142</v>
      </c>
      <c r="E848" t="s">
        <v>19</v>
      </c>
      <c r="F848" s="1">
        <v>46293</v>
      </c>
      <c r="G848" s="1">
        <v>46362</v>
      </c>
      <c r="H848" s="1">
        <v>46295</v>
      </c>
      <c r="I848" s="1">
        <v>46374</v>
      </c>
      <c r="J848" s="2">
        <v>50000</v>
      </c>
      <c r="K848" s="2">
        <v>58624.19</v>
      </c>
      <c r="L848" s="2">
        <v>99401.01</v>
      </c>
      <c r="M848">
        <v>3758</v>
      </c>
      <c r="N848">
        <v>4383</v>
      </c>
      <c r="O848" t="s">
        <v>21</v>
      </c>
      <c r="P848" s="2">
        <f>Tabela1[[#This Row],[orcamento_aprovado]]-Tabela1[[#This Row],[custo_real_acumulado]]</f>
        <v>-8624.1900000000023</v>
      </c>
      <c r="Q848">
        <f>IF(Tabela1[[#This Row],[data_fim_real]]="","",Tabela1[[#This Row],[data_fim_real]]-Tabela1[[#This Row],[data_inicio_real]])</f>
        <v>79</v>
      </c>
    </row>
    <row r="849" spans="1:17" ht="16.5" x14ac:dyDescent="0.5">
      <c r="A849" t="s">
        <v>1965</v>
      </c>
      <c r="B849" t="s">
        <v>1966</v>
      </c>
      <c r="C849" t="s">
        <v>1967</v>
      </c>
      <c r="D849" t="s">
        <v>78</v>
      </c>
      <c r="E849" t="s">
        <v>19</v>
      </c>
      <c r="F849" s="1">
        <v>46026</v>
      </c>
      <c r="G849" s="1">
        <v>46098</v>
      </c>
      <c r="H849" s="1">
        <v>46031</v>
      </c>
      <c r="I849" s="1"/>
      <c r="J849" s="2">
        <v>265639.61</v>
      </c>
      <c r="K849" s="2">
        <v>143570.66</v>
      </c>
      <c r="L849" s="2">
        <v>447975.95</v>
      </c>
      <c r="M849">
        <v>434</v>
      </c>
      <c r="N849">
        <v>213</v>
      </c>
      <c r="O849" t="s">
        <v>26</v>
      </c>
      <c r="P849" s="2">
        <f>Tabela1[[#This Row],[orcamento_aprovado]]-Tabela1[[#This Row],[custo_real_acumulado]]</f>
        <v>122068.94999999998</v>
      </c>
      <c r="Q849" t="str">
        <f>IF(Tabela1[[#This Row],[data_fim_real]]="","",Tabela1[[#This Row],[data_fim_real]]-Tabela1[[#This Row],[data_inicio_real]])</f>
        <v/>
      </c>
    </row>
    <row r="850" spans="1:17" ht="16.5" x14ac:dyDescent="0.5">
      <c r="A850" t="s">
        <v>1968</v>
      </c>
      <c r="B850" t="s">
        <v>1969</v>
      </c>
      <c r="C850" t="s">
        <v>157</v>
      </c>
      <c r="D850" t="s">
        <v>58</v>
      </c>
      <c r="E850" t="s">
        <v>19</v>
      </c>
      <c r="F850" s="1">
        <v>46293</v>
      </c>
      <c r="G850" s="1">
        <v>46368</v>
      </c>
      <c r="H850" s="1"/>
      <c r="I850" s="1"/>
      <c r="J850" s="2">
        <v>63411.92</v>
      </c>
      <c r="K850" s="2">
        <v>0</v>
      </c>
      <c r="L850" s="2">
        <v>77941.679999999993</v>
      </c>
      <c r="M850">
        <v>1713</v>
      </c>
      <c r="N850">
        <v>0</v>
      </c>
      <c r="O850" t="s">
        <v>34</v>
      </c>
      <c r="P850" s="2">
        <f>Tabela1[[#This Row],[orcamento_aprovado]]-Tabela1[[#This Row],[custo_real_acumulado]]</f>
        <v>63411.92</v>
      </c>
      <c r="Q850" t="str">
        <f>IF(Tabela1[[#This Row],[data_fim_real]]="","",Tabela1[[#This Row],[data_fim_real]]-Tabela1[[#This Row],[data_inicio_real]])</f>
        <v/>
      </c>
    </row>
    <row r="851" spans="1:17" ht="16.5" x14ac:dyDescent="0.5">
      <c r="A851" t="s">
        <v>1970</v>
      </c>
      <c r="B851" t="s">
        <v>1971</v>
      </c>
      <c r="C851" t="s">
        <v>227</v>
      </c>
      <c r="D851" t="s">
        <v>58</v>
      </c>
      <c r="E851" t="s">
        <v>43</v>
      </c>
      <c r="F851" s="1">
        <v>46349</v>
      </c>
      <c r="G851" s="1">
        <v>46387</v>
      </c>
      <c r="H851" s="1"/>
      <c r="I851" s="1"/>
      <c r="J851" s="2">
        <v>55559.67</v>
      </c>
      <c r="K851" s="2">
        <v>0</v>
      </c>
      <c r="L851" s="2">
        <v>18002.5</v>
      </c>
      <c r="M851">
        <v>1227</v>
      </c>
      <c r="N851">
        <v>0</v>
      </c>
      <c r="O851" t="s">
        <v>21</v>
      </c>
      <c r="P851" s="2">
        <f>Tabela1[[#This Row],[orcamento_aprovado]]-Tabela1[[#This Row],[custo_real_acumulado]]</f>
        <v>55559.67</v>
      </c>
      <c r="Q851" t="str">
        <f>IF(Tabela1[[#This Row],[data_fim_real]]="","",Tabela1[[#This Row],[data_fim_real]]-Tabela1[[#This Row],[data_inicio_real]])</f>
        <v/>
      </c>
    </row>
    <row r="852" spans="1:17" ht="16.5" x14ac:dyDescent="0.5">
      <c r="A852" t="s">
        <v>1972</v>
      </c>
      <c r="B852" t="s">
        <v>1973</v>
      </c>
      <c r="C852" t="s">
        <v>756</v>
      </c>
      <c r="D852" t="s">
        <v>54</v>
      </c>
      <c r="E852" t="s">
        <v>43</v>
      </c>
      <c r="F852" s="1">
        <v>46343</v>
      </c>
      <c r="G852" s="1">
        <v>46387</v>
      </c>
      <c r="H852" s="1"/>
      <c r="I852" s="1"/>
      <c r="J852" s="2">
        <v>138818.87</v>
      </c>
      <c r="K852" s="2">
        <v>0</v>
      </c>
      <c r="L852" s="2">
        <v>89471.42</v>
      </c>
      <c r="M852">
        <v>700</v>
      </c>
      <c r="N852">
        <v>0</v>
      </c>
      <c r="O852" t="s">
        <v>26</v>
      </c>
      <c r="P852" s="2">
        <f>Tabela1[[#This Row],[orcamento_aprovado]]-Tabela1[[#This Row],[custo_real_acumulado]]</f>
        <v>138818.87</v>
      </c>
      <c r="Q852" t="str">
        <f>IF(Tabela1[[#This Row],[data_fim_real]]="","",Tabela1[[#This Row],[data_fim_real]]-Tabela1[[#This Row],[data_inicio_real]])</f>
        <v/>
      </c>
    </row>
    <row r="853" spans="1:17" ht="16.5" x14ac:dyDescent="0.5">
      <c r="A853" t="s">
        <v>1974</v>
      </c>
      <c r="B853" t="s">
        <v>1975</v>
      </c>
      <c r="C853" t="s">
        <v>546</v>
      </c>
      <c r="D853" t="s">
        <v>78</v>
      </c>
      <c r="E853" t="s">
        <v>42</v>
      </c>
      <c r="F853" s="1">
        <v>46183</v>
      </c>
      <c r="G853" s="1">
        <v>46232</v>
      </c>
      <c r="H853" s="1">
        <v>46202</v>
      </c>
      <c r="I853" s="1"/>
      <c r="J853" s="2">
        <v>320719.63</v>
      </c>
      <c r="K853" s="2">
        <v>98518.98</v>
      </c>
      <c r="L853" s="2">
        <v>125978.38</v>
      </c>
      <c r="M853">
        <v>332</v>
      </c>
      <c r="N853">
        <v>77</v>
      </c>
      <c r="O853" t="s">
        <v>34</v>
      </c>
      <c r="P853" s="2">
        <f>Tabela1[[#This Row],[orcamento_aprovado]]-Tabela1[[#This Row],[custo_real_acumulado]]</f>
        <v>222200.65000000002</v>
      </c>
      <c r="Q853" t="str">
        <f>IF(Tabela1[[#This Row],[data_fim_real]]="","",Tabela1[[#This Row],[data_fim_real]]-Tabela1[[#This Row],[data_inicio_real]])</f>
        <v/>
      </c>
    </row>
    <row r="854" spans="1:17" ht="16.5" x14ac:dyDescent="0.5">
      <c r="A854" t="s">
        <v>1976</v>
      </c>
      <c r="B854" t="s">
        <v>1977</v>
      </c>
      <c r="C854" t="s">
        <v>41</v>
      </c>
      <c r="D854" t="s">
        <v>18</v>
      </c>
      <c r="E854" t="s">
        <v>20</v>
      </c>
      <c r="F854" s="1">
        <v>46365</v>
      </c>
      <c r="G854" s="1">
        <v>46387</v>
      </c>
      <c r="H854" s="1">
        <v>46365</v>
      </c>
      <c r="I854" s="1"/>
      <c r="J854" s="2">
        <v>117647.38</v>
      </c>
      <c r="K854" s="2">
        <v>35425.78</v>
      </c>
      <c r="L854" s="2">
        <v>76175.09</v>
      </c>
      <c r="M854">
        <v>341</v>
      </c>
      <c r="N854">
        <v>112</v>
      </c>
      <c r="O854" t="s">
        <v>21</v>
      </c>
      <c r="P854" s="2">
        <f>Tabela1[[#This Row],[orcamento_aprovado]]-Tabela1[[#This Row],[custo_real_acumulado]]</f>
        <v>82221.600000000006</v>
      </c>
      <c r="Q854" t="str">
        <f>IF(Tabela1[[#This Row],[data_fim_real]]="","",Tabela1[[#This Row],[data_fim_real]]-Tabela1[[#This Row],[data_inicio_real]])</f>
        <v/>
      </c>
    </row>
    <row r="855" spans="1:17" ht="16.5" x14ac:dyDescent="0.5">
      <c r="A855" t="s">
        <v>1978</v>
      </c>
      <c r="B855" t="s">
        <v>1979</v>
      </c>
      <c r="C855" t="s">
        <v>647</v>
      </c>
      <c r="D855" t="s">
        <v>78</v>
      </c>
      <c r="E855" t="s">
        <v>43</v>
      </c>
      <c r="F855" s="1">
        <v>46047</v>
      </c>
      <c r="G855" s="1">
        <v>46110</v>
      </c>
      <c r="H855" s="1">
        <v>46043</v>
      </c>
      <c r="I855" s="1"/>
      <c r="J855" s="2">
        <v>125571.95</v>
      </c>
      <c r="K855" s="2">
        <v>59161.46</v>
      </c>
      <c r="L855" s="2">
        <v>238847.69</v>
      </c>
      <c r="M855">
        <v>2410</v>
      </c>
      <c r="N855">
        <v>1168</v>
      </c>
      <c r="O855" t="s">
        <v>26</v>
      </c>
      <c r="P855" s="2">
        <f>Tabela1[[#This Row],[orcamento_aprovado]]-Tabela1[[#This Row],[custo_real_acumulado]]</f>
        <v>66410.489999999991</v>
      </c>
      <c r="Q855" t="str">
        <f>IF(Tabela1[[#This Row],[data_fim_real]]="","",Tabela1[[#This Row],[data_fim_real]]-Tabela1[[#This Row],[data_inicio_real]])</f>
        <v/>
      </c>
    </row>
    <row r="856" spans="1:17" ht="16.5" x14ac:dyDescent="0.5">
      <c r="A856" t="s">
        <v>1980</v>
      </c>
      <c r="B856" t="s">
        <v>1981</v>
      </c>
      <c r="C856" t="s">
        <v>77</v>
      </c>
      <c r="D856" t="s">
        <v>18</v>
      </c>
      <c r="E856" t="s">
        <v>43</v>
      </c>
      <c r="F856" s="1">
        <v>46278</v>
      </c>
      <c r="G856" s="1">
        <v>46377</v>
      </c>
      <c r="H856" s="1">
        <v>46285</v>
      </c>
      <c r="I856" s="1"/>
      <c r="J856" s="2">
        <v>109847.94</v>
      </c>
      <c r="K856" s="2">
        <v>81982.600000000006</v>
      </c>
      <c r="L856" s="2">
        <v>206085.06</v>
      </c>
      <c r="M856">
        <v>3178</v>
      </c>
      <c r="N856">
        <v>2473</v>
      </c>
      <c r="O856" t="s">
        <v>34</v>
      </c>
      <c r="P856" s="2">
        <f>Tabela1[[#This Row],[orcamento_aprovado]]-Tabela1[[#This Row],[custo_real_acumulado]]</f>
        <v>27865.339999999997</v>
      </c>
      <c r="Q856" t="str">
        <f>IF(Tabela1[[#This Row],[data_fim_real]]="","",Tabela1[[#This Row],[data_fim_real]]-Tabela1[[#This Row],[data_inicio_real]])</f>
        <v/>
      </c>
    </row>
    <row r="857" spans="1:17" ht="16.5" x14ac:dyDescent="0.5">
      <c r="A857" t="s">
        <v>1982</v>
      </c>
      <c r="B857" t="s">
        <v>1983</v>
      </c>
      <c r="C857" t="s">
        <v>318</v>
      </c>
      <c r="D857" t="s">
        <v>50</v>
      </c>
      <c r="E857" t="s">
        <v>20</v>
      </c>
      <c r="F857" s="1">
        <v>46374</v>
      </c>
      <c r="G857" s="1">
        <v>46387</v>
      </c>
      <c r="H857" s="1">
        <v>46376</v>
      </c>
      <c r="I857" s="1"/>
      <c r="J857" s="2">
        <v>67229.69</v>
      </c>
      <c r="K857" s="2">
        <v>17498.98</v>
      </c>
      <c r="L857" s="2">
        <v>76091.850000000006</v>
      </c>
      <c r="M857">
        <v>681</v>
      </c>
      <c r="N857">
        <v>204</v>
      </c>
      <c r="O857" t="s">
        <v>21</v>
      </c>
      <c r="P857" s="2">
        <f>Tabela1[[#This Row],[orcamento_aprovado]]-Tabela1[[#This Row],[custo_real_acumulado]]</f>
        <v>49730.710000000006</v>
      </c>
      <c r="Q857" t="str">
        <f>IF(Tabela1[[#This Row],[data_fim_real]]="","",Tabela1[[#This Row],[data_fim_real]]-Tabela1[[#This Row],[data_inicio_real]])</f>
        <v/>
      </c>
    </row>
    <row r="858" spans="1:17" ht="16.5" x14ac:dyDescent="0.5">
      <c r="A858" t="s">
        <v>1984</v>
      </c>
      <c r="B858" t="s">
        <v>1985</v>
      </c>
      <c r="C858" t="s">
        <v>956</v>
      </c>
      <c r="D858" t="s">
        <v>38</v>
      </c>
      <c r="E858" t="s">
        <v>43</v>
      </c>
      <c r="F858" s="1">
        <v>46275</v>
      </c>
      <c r="G858" s="1">
        <v>46387</v>
      </c>
      <c r="H858" s="1">
        <v>46278</v>
      </c>
      <c r="I858" s="1"/>
      <c r="J858" s="2">
        <v>57261.26</v>
      </c>
      <c r="K858" s="2">
        <v>40172.28</v>
      </c>
      <c r="L858" s="2">
        <v>94087.75</v>
      </c>
      <c r="M858">
        <v>3131</v>
      </c>
      <c r="N858">
        <v>2141</v>
      </c>
      <c r="O858" t="s">
        <v>26</v>
      </c>
      <c r="P858" s="2">
        <f>Tabela1[[#This Row],[orcamento_aprovado]]-Tabela1[[#This Row],[custo_real_acumulado]]</f>
        <v>17088.980000000003</v>
      </c>
      <c r="Q858" t="str">
        <f>IF(Tabela1[[#This Row],[data_fim_real]]="","",Tabela1[[#This Row],[data_fim_real]]-Tabela1[[#This Row],[data_inicio_real]])</f>
        <v/>
      </c>
    </row>
    <row r="859" spans="1:17" ht="16.5" x14ac:dyDescent="0.5">
      <c r="A859" t="s">
        <v>1986</v>
      </c>
      <c r="B859" t="s">
        <v>1987</v>
      </c>
      <c r="C859" t="s">
        <v>1010</v>
      </c>
      <c r="D859" t="s">
        <v>38</v>
      </c>
      <c r="E859" t="s">
        <v>19</v>
      </c>
      <c r="F859" s="1">
        <v>46096</v>
      </c>
      <c r="G859" s="1">
        <v>46193</v>
      </c>
      <c r="H859" s="1">
        <v>46087</v>
      </c>
      <c r="I859" s="1"/>
      <c r="J859" s="2">
        <v>53536.59</v>
      </c>
      <c r="K859" s="2">
        <v>32312.14</v>
      </c>
      <c r="L859" s="2">
        <v>56764</v>
      </c>
      <c r="M859">
        <v>2454</v>
      </c>
      <c r="N859">
        <v>1508</v>
      </c>
      <c r="O859" t="s">
        <v>34</v>
      </c>
      <c r="P859" s="2">
        <f>Tabela1[[#This Row],[orcamento_aprovado]]-Tabela1[[#This Row],[custo_real_acumulado]]</f>
        <v>21224.449999999997</v>
      </c>
      <c r="Q859" t="str">
        <f>IF(Tabela1[[#This Row],[data_fim_real]]="","",Tabela1[[#This Row],[data_fim_real]]-Tabela1[[#This Row],[data_inicio_real]])</f>
        <v/>
      </c>
    </row>
    <row r="860" spans="1:17" ht="16.5" x14ac:dyDescent="0.5">
      <c r="A860" t="s">
        <v>1988</v>
      </c>
      <c r="B860" t="s">
        <v>1989</v>
      </c>
      <c r="C860" t="s">
        <v>318</v>
      </c>
      <c r="D860" t="s">
        <v>71</v>
      </c>
      <c r="E860" t="s">
        <v>19</v>
      </c>
      <c r="F860" s="1">
        <v>46356</v>
      </c>
      <c r="G860" s="1">
        <v>46387</v>
      </c>
      <c r="H860" s="1">
        <v>46362</v>
      </c>
      <c r="I860" s="1"/>
      <c r="J860" s="2">
        <v>54867.29</v>
      </c>
      <c r="K860" s="2">
        <v>19482.23</v>
      </c>
      <c r="L860" s="2">
        <v>51951.44</v>
      </c>
      <c r="M860">
        <v>1359</v>
      </c>
      <c r="N860">
        <v>465</v>
      </c>
      <c r="O860" t="s">
        <v>21</v>
      </c>
      <c r="P860" s="2">
        <f>Tabela1[[#This Row],[orcamento_aprovado]]-Tabela1[[#This Row],[custo_real_acumulado]]</f>
        <v>35385.06</v>
      </c>
      <c r="Q860" t="str">
        <f>IF(Tabela1[[#This Row],[data_fim_real]]="","",Tabela1[[#This Row],[data_fim_real]]-Tabela1[[#This Row],[data_inicio_real]])</f>
        <v/>
      </c>
    </row>
    <row r="861" spans="1:17" ht="16.5" x14ac:dyDescent="0.5">
      <c r="A861" t="s">
        <v>1990</v>
      </c>
      <c r="B861" t="s">
        <v>1991</v>
      </c>
      <c r="C861" t="s">
        <v>306</v>
      </c>
      <c r="D861" t="s">
        <v>58</v>
      </c>
      <c r="E861" t="s">
        <v>43</v>
      </c>
      <c r="F861" s="1">
        <v>46087</v>
      </c>
      <c r="G861" s="1">
        <v>46154</v>
      </c>
      <c r="H861" s="1">
        <v>46087</v>
      </c>
      <c r="I861" s="1"/>
      <c r="J861" s="2">
        <v>196261.09</v>
      </c>
      <c r="K861" s="2">
        <v>123107.34</v>
      </c>
      <c r="L861" s="2">
        <v>88902.64</v>
      </c>
      <c r="M861">
        <v>2012</v>
      </c>
      <c r="N861">
        <v>1156</v>
      </c>
      <c r="O861" t="s">
        <v>26</v>
      </c>
      <c r="P861" s="2">
        <f>Tabela1[[#This Row],[orcamento_aprovado]]-Tabela1[[#This Row],[custo_real_acumulado]]</f>
        <v>73153.75</v>
      </c>
      <c r="Q861" t="str">
        <f>IF(Tabela1[[#This Row],[data_fim_real]]="","",Tabela1[[#This Row],[data_fim_real]]-Tabela1[[#This Row],[data_inicio_real]])</f>
        <v/>
      </c>
    </row>
    <row r="862" spans="1:17" ht="16.5" x14ac:dyDescent="0.5">
      <c r="A862" t="s">
        <v>1992</v>
      </c>
      <c r="B862" t="s">
        <v>1993</v>
      </c>
      <c r="C862" t="s">
        <v>29</v>
      </c>
      <c r="D862" t="s">
        <v>78</v>
      </c>
      <c r="E862" t="s">
        <v>43</v>
      </c>
      <c r="F862" s="1">
        <v>46306</v>
      </c>
      <c r="G862" s="1">
        <v>46377</v>
      </c>
      <c r="H862" s="1">
        <v>46317</v>
      </c>
      <c r="I862" s="1">
        <v>46387</v>
      </c>
      <c r="J862" s="2">
        <v>51559.73</v>
      </c>
      <c r="K862" s="2">
        <v>45308.62</v>
      </c>
      <c r="L862" s="2">
        <v>85577.82</v>
      </c>
      <c r="M862">
        <v>1685</v>
      </c>
      <c r="N862">
        <v>1956</v>
      </c>
      <c r="O862" t="s">
        <v>34</v>
      </c>
      <c r="P862" s="2">
        <f>Tabela1[[#This Row],[orcamento_aprovado]]-Tabela1[[#This Row],[custo_real_acumulado]]</f>
        <v>6251.1100000000006</v>
      </c>
      <c r="Q862">
        <f>IF(Tabela1[[#This Row],[data_fim_real]]="","",Tabela1[[#This Row],[data_fim_real]]-Tabela1[[#This Row],[data_inicio_real]])</f>
        <v>70</v>
      </c>
    </row>
    <row r="863" spans="1:17" ht="16.5" x14ac:dyDescent="0.5">
      <c r="A863" t="s">
        <v>1994</v>
      </c>
      <c r="B863" t="s">
        <v>1995</v>
      </c>
      <c r="C863" t="s">
        <v>103</v>
      </c>
      <c r="D863" t="s">
        <v>58</v>
      </c>
      <c r="E863" t="s">
        <v>43</v>
      </c>
      <c r="F863" s="1">
        <v>46036</v>
      </c>
      <c r="G863" s="1">
        <v>46050</v>
      </c>
      <c r="H863" s="1">
        <v>46039</v>
      </c>
      <c r="I863" s="1"/>
      <c r="J863" s="2">
        <v>96022.92</v>
      </c>
      <c r="K863" s="2">
        <v>38155.410000000003</v>
      </c>
      <c r="L863" s="2">
        <v>198926.44</v>
      </c>
      <c r="M863">
        <v>384</v>
      </c>
      <c r="N863">
        <v>150</v>
      </c>
      <c r="O863" t="s">
        <v>21</v>
      </c>
      <c r="P863" s="2">
        <f>Tabela1[[#This Row],[orcamento_aprovado]]-Tabela1[[#This Row],[custo_real_acumulado]]</f>
        <v>57867.509999999995</v>
      </c>
      <c r="Q863" t="str">
        <f>IF(Tabela1[[#This Row],[data_fim_real]]="","",Tabela1[[#This Row],[data_fim_real]]-Tabela1[[#This Row],[data_inicio_real]])</f>
        <v/>
      </c>
    </row>
    <row r="864" spans="1:17" ht="16.5" x14ac:dyDescent="0.5">
      <c r="A864" t="s">
        <v>1996</v>
      </c>
      <c r="B864" t="s">
        <v>1997</v>
      </c>
      <c r="C864" t="s">
        <v>369</v>
      </c>
      <c r="D864" t="s">
        <v>38</v>
      </c>
      <c r="E864" t="s">
        <v>19</v>
      </c>
      <c r="F864" s="1">
        <v>46101</v>
      </c>
      <c r="G864" s="1">
        <v>46130</v>
      </c>
      <c r="H864" s="1">
        <v>46118</v>
      </c>
      <c r="I864" s="1"/>
      <c r="J864" s="2">
        <v>97146.77</v>
      </c>
      <c r="K864" s="2">
        <v>44200.24</v>
      </c>
      <c r="L864" s="2">
        <v>95741.34</v>
      </c>
      <c r="M864">
        <v>979</v>
      </c>
      <c r="N864">
        <v>388</v>
      </c>
      <c r="O864" t="s">
        <v>26</v>
      </c>
      <c r="P864" s="2">
        <f>Tabela1[[#This Row],[orcamento_aprovado]]-Tabela1[[#This Row],[custo_real_acumulado]]</f>
        <v>52946.530000000006</v>
      </c>
      <c r="Q864" t="str">
        <f>IF(Tabela1[[#This Row],[data_fim_real]]="","",Tabela1[[#This Row],[data_fim_real]]-Tabela1[[#This Row],[data_inicio_real]])</f>
        <v/>
      </c>
    </row>
    <row r="865" spans="1:17" ht="16.5" x14ac:dyDescent="0.5">
      <c r="A865" t="s">
        <v>1998</v>
      </c>
      <c r="B865" t="s">
        <v>1999</v>
      </c>
      <c r="C865" t="s">
        <v>205</v>
      </c>
      <c r="D865" t="s">
        <v>58</v>
      </c>
      <c r="E865" t="s">
        <v>20</v>
      </c>
      <c r="F865" s="1">
        <v>46218</v>
      </c>
      <c r="G865" s="1">
        <v>46268</v>
      </c>
      <c r="H865" s="1"/>
      <c r="I865" s="1"/>
      <c r="J865" s="2">
        <v>50000</v>
      </c>
      <c r="K865" s="2">
        <v>0</v>
      </c>
      <c r="L865" s="2">
        <v>46074.47</v>
      </c>
      <c r="M865">
        <v>890</v>
      </c>
      <c r="N865">
        <v>0</v>
      </c>
      <c r="O865" t="s">
        <v>34</v>
      </c>
      <c r="P865" s="2">
        <f>Tabela1[[#This Row],[orcamento_aprovado]]-Tabela1[[#This Row],[custo_real_acumulado]]</f>
        <v>50000</v>
      </c>
      <c r="Q865" t="str">
        <f>IF(Tabela1[[#This Row],[data_fim_real]]="","",Tabela1[[#This Row],[data_fim_real]]-Tabela1[[#This Row],[data_inicio_real]])</f>
        <v/>
      </c>
    </row>
    <row r="866" spans="1:17" ht="16.5" x14ac:dyDescent="0.5">
      <c r="A866" t="s">
        <v>2000</v>
      </c>
      <c r="B866" t="s">
        <v>2001</v>
      </c>
      <c r="C866" t="s">
        <v>433</v>
      </c>
      <c r="D866" t="s">
        <v>78</v>
      </c>
      <c r="E866" t="s">
        <v>42</v>
      </c>
      <c r="F866" s="1">
        <v>46203</v>
      </c>
      <c r="G866" s="1">
        <v>46220</v>
      </c>
      <c r="H866" s="1">
        <v>46230</v>
      </c>
      <c r="I866" s="1"/>
      <c r="J866" s="2">
        <v>457636.45</v>
      </c>
      <c r="K866" s="2">
        <v>289461.86</v>
      </c>
      <c r="L866" s="2">
        <v>798820.13</v>
      </c>
      <c r="M866">
        <v>476</v>
      </c>
      <c r="N866">
        <v>255</v>
      </c>
      <c r="O866" t="s">
        <v>21</v>
      </c>
      <c r="P866" s="2">
        <f>Tabela1[[#This Row],[orcamento_aprovado]]-Tabela1[[#This Row],[custo_real_acumulado]]</f>
        <v>168174.59000000003</v>
      </c>
      <c r="Q866" t="str">
        <f>IF(Tabela1[[#This Row],[data_fim_real]]="","",Tabela1[[#This Row],[data_fim_real]]-Tabela1[[#This Row],[data_inicio_real]])</f>
        <v/>
      </c>
    </row>
    <row r="867" spans="1:17" ht="16.5" x14ac:dyDescent="0.5">
      <c r="A867" t="s">
        <v>2002</v>
      </c>
      <c r="B867" t="s">
        <v>2003</v>
      </c>
      <c r="C867" t="s">
        <v>282</v>
      </c>
      <c r="D867" t="s">
        <v>50</v>
      </c>
      <c r="E867" t="s">
        <v>43</v>
      </c>
      <c r="F867" s="1">
        <v>46118</v>
      </c>
      <c r="G867" s="1">
        <v>46196</v>
      </c>
      <c r="H867" s="1"/>
      <c r="I867" s="1"/>
      <c r="J867" s="2">
        <v>276387.14</v>
      </c>
      <c r="K867" s="2">
        <v>0</v>
      </c>
      <c r="L867" s="2">
        <v>161208.47</v>
      </c>
      <c r="M867">
        <v>1277</v>
      </c>
      <c r="N867">
        <v>0</v>
      </c>
      <c r="O867" t="s">
        <v>26</v>
      </c>
      <c r="P867" s="2">
        <f>Tabela1[[#This Row],[orcamento_aprovado]]-Tabela1[[#This Row],[custo_real_acumulado]]</f>
        <v>276387.14</v>
      </c>
      <c r="Q867" t="str">
        <f>IF(Tabela1[[#This Row],[data_fim_real]]="","",Tabela1[[#This Row],[data_fim_real]]-Tabela1[[#This Row],[data_inicio_real]])</f>
        <v/>
      </c>
    </row>
    <row r="868" spans="1:17" ht="16.5" x14ac:dyDescent="0.5">
      <c r="A868" t="s">
        <v>2004</v>
      </c>
      <c r="B868" t="s">
        <v>2005</v>
      </c>
      <c r="C868" t="s">
        <v>748</v>
      </c>
      <c r="D868" t="s">
        <v>50</v>
      </c>
      <c r="E868" t="s">
        <v>20</v>
      </c>
      <c r="F868" s="1">
        <v>46223</v>
      </c>
      <c r="G868" s="1">
        <v>46255</v>
      </c>
      <c r="H868" s="1">
        <v>46215</v>
      </c>
      <c r="I868" s="1">
        <v>46255</v>
      </c>
      <c r="J868" s="2">
        <v>91300.19</v>
      </c>
      <c r="K868" s="2">
        <v>79156.2</v>
      </c>
      <c r="L868" s="2">
        <v>107625.99</v>
      </c>
      <c r="M868">
        <v>752</v>
      </c>
      <c r="N868">
        <v>901</v>
      </c>
      <c r="O868" t="s">
        <v>34</v>
      </c>
      <c r="P868" s="2">
        <f>Tabela1[[#This Row],[orcamento_aprovado]]-Tabela1[[#This Row],[custo_real_acumulado]]</f>
        <v>12143.990000000005</v>
      </c>
      <c r="Q868">
        <f>IF(Tabela1[[#This Row],[data_fim_real]]="","",Tabela1[[#This Row],[data_fim_real]]-Tabela1[[#This Row],[data_inicio_real]])</f>
        <v>40</v>
      </c>
    </row>
    <row r="869" spans="1:17" ht="16.5" x14ac:dyDescent="0.5">
      <c r="A869" t="s">
        <v>2006</v>
      </c>
      <c r="B869" t="s">
        <v>2007</v>
      </c>
      <c r="C869" t="s">
        <v>211</v>
      </c>
      <c r="D869" t="s">
        <v>58</v>
      </c>
      <c r="E869" t="s">
        <v>20</v>
      </c>
      <c r="F869" s="1">
        <v>46318</v>
      </c>
      <c r="G869" s="1">
        <v>46387</v>
      </c>
      <c r="H869" s="1">
        <v>46323</v>
      </c>
      <c r="I869" s="1"/>
      <c r="J869" s="2">
        <v>271050.90999999997</v>
      </c>
      <c r="K869" s="2">
        <v>288728.57</v>
      </c>
      <c r="L869" s="2">
        <v>285531.68</v>
      </c>
      <c r="M869">
        <v>3491</v>
      </c>
      <c r="N869">
        <v>3376</v>
      </c>
      <c r="O869" t="s">
        <v>21</v>
      </c>
      <c r="P869" s="2">
        <f>Tabela1[[#This Row],[orcamento_aprovado]]-Tabela1[[#This Row],[custo_real_acumulado]]</f>
        <v>-17677.660000000033</v>
      </c>
      <c r="Q869" t="str">
        <f>IF(Tabela1[[#This Row],[data_fim_real]]="","",Tabela1[[#This Row],[data_fim_real]]-Tabela1[[#This Row],[data_inicio_real]])</f>
        <v/>
      </c>
    </row>
    <row r="870" spans="1:17" ht="16.5" x14ac:dyDescent="0.5">
      <c r="A870" t="s">
        <v>2008</v>
      </c>
      <c r="B870" t="s">
        <v>2009</v>
      </c>
      <c r="C870" t="s">
        <v>17</v>
      </c>
      <c r="D870" t="s">
        <v>18</v>
      </c>
      <c r="E870" t="s">
        <v>20</v>
      </c>
      <c r="F870" s="1">
        <v>46190</v>
      </c>
      <c r="G870" s="1">
        <v>46238</v>
      </c>
      <c r="H870" s="1">
        <v>46195</v>
      </c>
      <c r="I870" s="1"/>
      <c r="J870" s="2">
        <v>51874.61</v>
      </c>
      <c r="K870" s="2">
        <v>58472.91</v>
      </c>
      <c r="L870" s="2">
        <v>84339.24</v>
      </c>
      <c r="M870">
        <v>1699</v>
      </c>
      <c r="N870">
        <v>1530</v>
      </c>
      <c r="O870" t="s">
        <v>26</v>
      </c>
      <c r="P870" s="2">
        <f>Tabela1[[#This Row],[orcamento_aprovado]]-Tabela1[[#This Row],[custo_real_acumulado]]</f>
        <v>-6598.3000000000029</v>
      </c>
      <c r="Q870" t="str">
        <f>IF(Tabela1[[#This Row],[data_fim_real]]="","",Tabela1[[#This Row],[data_fim_real]]-Tabela1[[#This Row],[data_inicio_real]])</f>
        <v/>
      </c>
    </row>
    <row r="871" spans="1:17" ht="16.5" x14ac:dyDescent="0.5">
      <c r="A871" t="s">
        <v>2010</v>
      </c>
      <c r="B871" t="s">
        <v>2011</v>
      </c>
      <c r="C871" t="s">
        <v>919</v>
      </c>
      <c r="D871" t="s">
        <v>71</v>
      </c>
      <c r="E871" t="s">
        <v>20</v>
      </c>
      <c r="F871" s="1">
        <v>46352</v>
      </c>
      <c r="G871" s="1">
        <v>46387</v>
      </c>
      <c r="H871" s="1">
        <v>46354</v>
      </c>
      <c r="I871" s="1"/>
      <c r="J871" s="2">
        <v>50000</v>
      </c>
      <c r="K871" s="2">
        <v>37946.39</v>
      </c>
      <c r="L871" s="2">
        <v>26384.86</v>
      </c>
      <c r="M871">
        <v>652</v>
      </c>
      <c r="N871">
        <v>556</v>
      </c>
      <c r="O871" t="s">
        <v>34</v>
      </c>
      <c r="P871" s="2">
        <f>Tabela1[[#This Row],[orcamento_aprovado]]-Tabela1[[#This Row],[custo_real_acumulado]]</f>
        <v>12053.61</v>
      </c>
      <c r="Q871" t="str">
        <f>IF(Tabela1[[#This Row],[data_fim_real]]="","",Tabela1[[#This Row],[data_fim_real]]-Tabela1[[#This Row],[data_inicio_real]])</f>
        <v/>
      </c>
    </row>
    <row r="872" spans="1:17" ht="16.5" x14ac:dyDescent="0.5">
      <c r="A872" t="s">
        <v>2012</v>
      </c>
      <c r="B872" t="s">
        <v>2013</v>
      </c>
      <c r="C872" t="s">
        <v>1239</v>
      </c>
      <c r="D872" t="s">
        <v>142</v>
      </c>
      <c r="E872" t="s">
        <v>19</v>
      </c>
      <c r="F872" s="1">
        <v>46292</v>
      </c>
      <c r="G872" s="1">
        <v>46338</v>
      </c>
      <c r="H872" s="1">
        <v>46300</v>
      </c>
      <c r="I872" s="1"/>
      <c r="J872" s="2">
        <v>180262.06</v>
      </c>
      <c r="K872" s="2">
        <v>187884.71</v>
      </c>
      <c r="L872" s="2">
        <v>168563.13</v>
      </c>
      <c r="M872">
        <v>423</v>
      </c>
      <c r="N872">
        <v>398</v>
      </c>
      <c r="O872" t="s">
        <v>21</v>
      </c>
      <c r="P872" s="2">
        <f>Tabela1[[#This Row],[orcamento_aprovado]]-Tabela1[[#This Row],[custo_real_acumulado]]</f>
        <v>-7622.6499999999942</v>
      </c>
      <c r="Q872" t="str">
        <f>IF(Tabela1[[#This Row],[data_fim_real]]="","",Tabela1[[#This Row],[data_fim_real]]-Tabela1[[#This Row],[data_inicio_real]])</f>
        <v/>
      </c>
    </row>
    <row r="873" spans="1:17" ht="16.5" x14ac:dyDescent="0.5">
      <c r="A873" t="s">
        <v>2014</v>
      </c>
      <c r="B873" t="s">
        <v>2015</v>
      </c>
      <c r="C873" t="s">
        <v>1010</v>
      </c>
      <c r="D873" t="s">
        <v>50</v>
      </c>
      <c r="E873" t="s">
        <v>19</v>
      </c>
      <c r="F873" s="1">
        <v>46093</v>
      </c>
      <c r="G873" s="1">
        <v>46192</v>
      </c>
      <c r="H873" s="1">
        <v>46100</v>
      </c>
      <c r="I873" s="1"/>
      <c r="J873" s="2">
        <v>50000</v>
      </c>
      <c r="K873" s="2">
        <v>48504.3</v>
      </c>
      <c r="L873" s="2">
        <v>89955.46</v>
      </c>
      <c r="M873">
        <v>1647</v>
      </c>
      <c r="N873">
        <v>1361</v>
      </c>
      <c r="O873" t="s">
        <v>26</v>
      </c>
      <c r="P873" s="2">
        <f>Tabela1[[#This Row],[orcamento_aprovado]]-Tabela1[[#This Row],[custo_real_acumulado]]</f>
        <v>1495.6999999999971</v>
      </c>
      <c r="Q873" t="str">
        <f>IF(Tabela1[[#This Row],[data_fim_real]]="","",Tabela1[[#This Row],[data_fim_real]]-Tabela1[[#This Row],[data_inicio_real]])</f>
        <v/>
      </c>
    </row>
    <row r="874" spans="1:17" ht="16.5" x14ac:dyDescent="0.5">
      <c r="A874" t="s">
        <v>2016</v>
      </c>
      <c r="B874" t="s">
        <v>2017</v>
      </c>
      <c r="C874" t="s">
        <v>364</v>
      </c>
      <c r="D874" t="s">
        <v>78</v>
      </c>
      <c r="E874" t="s">
        <v>43</v>
      </c>
      <c r="F874" s="1">
        <v>46377</v>
      </c>
      <c r="G874" s="1">
        <v>46387</v>
      </c>
      <c r="H874" s="1">
        <v>46379</v>
      </c>
      <c r="I874" s="1"/>
      <c r="J874" s="2">
        <v>64308.71</v>
      </c>
      <c r="K874" s="2">
        <v>5560.67</v>
      </c>
      <c r="L874" s="2">
        <v>112770.6</v>
      </c>
      <c r="M874">
        <v>248</v>
      </c>
      <c r="N874">
        <v>27</v>
      </c>
      <c r="O874" t="s">
        <v>34</v>
      </c>
      <c r="P874" s="2">
        <f>Tabela1[[#This Row],[orcamento_aprovado]]-Tabela1[[#This Row],[custo_real_acumulado]]</f>
        <v>58748.04</v>
      </c>
      <c r="Q874" t="str">
        <f>IF(Tabela1[[#This Row],[data_fim_real]]="","",Tabela1[[#This Row],[data_fim_real]]-Tabela1[[#This Row],[data_inicio_real]])</f>
        <v/>
      </c>
    </row>
    <row r="875" spans="1:17" ht="16.5" x14ac:dyDescent="0.5">
      <c r="A875" t="s">
        <v>2018</v>
      </c>
      <c r="B875" t="s">
        <v>2019</v>
      </c>
      <c r="C875" t="s">
        <v>301</v>
      </c>
      <c r="D875" t="s">
        <v>58</v>
      </c>
      <c r="E875" t="s">
        <v>42</v>
      </c>
      <c r="F875" s="1">
        <v>46185</v>
      </c>
      <c r="G875" s="1">
        <v>46276</v>
      </c>
      <c r="H875" s="1">
        <v>46186</v>
      </c>
      <c r="I875" s="1">
        <v>46293</v>
      </c>
      <c r="J875" s="2">
        <v>69655.3</v>
      </c>
      <c r="K875" s="2">
        <v>81696.740000000005</v>
      </c>
      <c r="L875" s="2">
        <v>107912.69</v>
      </c>
      <c r="M875">
        <v>1210</v>
      </c>
      <c r="N875">
        <v>1449</v>
      </c>
      <c r="O875" t="s">
        <v>21</v>
      </c>
      <c r="P875" s="2">
        <f>Tabela1[[#This Row],[orcamento_aprovado]]-Tabela1[[#This Row],[custo_real_acumulado]]</f>
        <v>-12041.440000000002</v>
      </c>
      <c r="Q875">
        <f>IF(Tabela1[[#This Row],[data_fim_real]]="","",Tabela1[[#This Row],[data_fim_real]]-Tabela1[[#This Row],[data_inicio_real]])</f>
        <v>107</v>
      </c>
    </row>
    <row r="876" spans="1:17" ht="16.5" x14ac:dyDescent="0.5">
      <c r="A876" t="s">
        <v>2020</v>
      </c>
      <c r="B876" t="s">
        <v>2021</v>
      </c>
      <c r="C876" t="s">
        <v>622</v>
      </c>
      <c r="D876" t="s">
        <v>50</v>
      </c>
      <c r="E876" t="s">
        <v>43</v>
      </c>
      <c r="F876" s="1">
        <v>46376</v>
      </c>
      <c r="G876" s="1">
        <v>46387</v>
      </c>
      <c r="H876" s="1">
        <v>46379</v>
      </c>
      <c r="I876" s="1"/>
      <c r="J876" s="2">
        <v>189962.37</v>
      </c>
      <c r="K876" s="2">
        <v>107955.07</v>
      </c>
      <c r="L876" s="2">
        <v>227221.65</v>
      </c>
      <c r="M876">
        <v>115</v>
      </c>
      <c r="N876">
        <v>53</v>
      </c>
      <c r="O876" t="s">
        <v>26</v>
      </c>
      <c r="P876" s="2">
        <f>Tabela1[[#This Row],[orcamento_aprovado]]-Tabela1[[#This Row],[custo_real_acumulado]]</f>
        <v>82007.299999999988</v>
      </c>
      <c r="Q876" t="str">
        <f>IF(Tabela1[[#This Row],[data_fim_real]]="","",Tabela1[[#This Row],[data_fim_real]]-Tabela1[[#This Row],[data_inicio_real]])</f>
        <v/>
      </c>
    </row>
    <row r="877" spans="1:17" ht="16.5" x14ac:dyDescent="0.5">
      <c r="A877" t="s">
        <v>2022</v>
      </c>
      <c r="B877" t="s">
        <v>2023</v>
      </c>
      <c r="C877" t="s">
        <v>148</v>
      </c>
      <c r="D877" t="s">
        <v>33</v>
      </c>
      <c r="E877" t="s">
        <v>42</v>
      </c>
      <c r="F877" s="1">
        <v>46134</v>
      </c>
      <c r="G877" s="1">
        <v>46226</v>
      </c>
      <c r="H877" s="1">
        <v>46132</v>
      </c>
      <c r="I877" s="1">
        <v>46209</v>
      </c>
      <c r="J877" s="2">
        <v>51870.77</v>
      </c>
      <c r="K877" s="2">
        <v>51446.84</v>
      </c>
      <c r="L877" s="2">
        <v>40309.47</v>
      </c>
      <c r="M877">
        <v>1483</v>
      </c>
      <c r="N877">
        <v>1713</v>
      </c>
      <c r="O877" t="s">
        <v>34</v>
      </c>
      <c r="P877" s="2">
        <f>Tabela1[[#This Row],[orcamento_aprovado]]-Tabela1[[#This Row],[custo_real_acumulado]]</f>
        <v>423.93000000000029</v>
      </c>
      <c r="Q877">
        <f>IF(Tabela1[[#This Row],[data_fim_real]]="","",Tabela1[[#This Row],[data_fim_real]]-Tabela1[[#This Row],[data_inicio_real]])</f>
        <v>77</v>
      </c>
    </row>
    <row r="878" spans="1:17" ht="16.5" x14ac:dyDescent="0.5">
      <c r="A878" t="s">
        <v>2024</v>
      </c>
      <c r="B878" t="s">
        <v>2025</v>
      </c>
      <c r="C878" t="s">
        <v>406</v>
      </c>
      <c r="D878" t="s">
        <v>18</v>
      </c>
      <c r="E878" t="s">
        <v>43</v>
      </c>
      <c r="F878" s="1">
        <v>46157</v>
      </c>
      <c r="G878" s="1">
        <v>46233</v>
      </c>
      <c r="H878" s="1"/>
      <c r="I878" s="1"/>
      <c r="J878" s="2">
        <v>74642.11</v>
      </c>
      <c r="K878" s="2">
        <v>0</v>
      </c>
      <c r="L878" s="2">
        <v>106587.64</v>
      </c>
      <c r="M878">
        <v>2997</v>
      </c>
      <c r="N878">
        <v>0</v>
      </c>
      <c r="O878" t="s">
        <v>21</v>
      </c>
      <c r="P878" s="2">
        <f>Tabela1[[#This Row],[orcamento_aprovado]]-Tabela1[[#This Row],[custo_real_acumulado]]</f>
        <v>74642.11</v>
      </c>
      <c r="Q878" t="str">
        <f>IF(Tabela1[[#This Row],[data_fim_real]]="","",Tabela1[[#This Row],[data_fim_real]]-Tabela1[[#This Row],[data_inicio_real]])</f>
        <v/>
      </c>
    </row>
    <row r="879" spans="1:17" ht="16.5" x14ac:dyDescent="0.5">
      <c r="A879" t="s">
        <v>2026</v>
      </c>
      <c r="B879" t="s">
        <v>2027</v>
      </c>
      <c r="C879" t="s">
        <v>794</v>
      </c>
      <c r="D879" t="s">
        <v>71</v>
      </c>
      <c r="E879" t="s">
        <v>43</v>
      </c>
      <c r="F879" s="1">
        <v>46270</v>
      </c>
      <c r="G879" s="1">
        <v>46284</v>
      </c>
      <c r="H879" s="1">
        <v>46274</v>
      </c>
      <c r="I879" s="1"/>
      <c r="J879" s="2">
        <v>50000</v>
      </c>
      <c r="K879" s="2">
        <v>11008.19</v>
      </c>
      <c r="L879" s="2">
        <v>72921.070000000007</v>
      </c>
      <c r="M879">
        <v>517</v>
      </c>
      <c r="N879">
        <v>92</v>
      </c>
      <c r="O879" t="s">
        <v>26</v>
      </c>
      <c r="P879" s="2">
        <f>Tabela1[[#This Row],[orcamento_aprovado]]-Tabela1[[#This Row],[custo_real_acumulado]]</f>
        <v>38991.81</v>
      </c>
      <c r="Q879" t="str">
        <f>IF(Tabela1[[#This Row],[data_fim_real]]="","",Tabela1[[#This Row],[data_fim_real]]-Tabela1[[#This Row],[data_inicio_real]])</f>
        <v/>
      </c>
    </row>
    <row r="880" spans="1:17" ht="16.5" x14ac:dyDescent="0.5">
      <c r="A880" t="s">
        <v>2028</v>
      </c>
      <c r="B880" t="s">
        <v>2029</v>
      </c>
      <c r="C880" t="s">
        <v>1627</v>
      </c>
      <c r="D880" t="s">
        <v>54</v>
      </c>
      <c r="E880" t="s">
        <v>42</v>
      </c>
      <c r="F880" s="1">
        <v>46133</v>
      </c>
      <c r="G880" s="1">
        <v>46199</v>
      </c>
      <c r="H880" s="1">
        <v>46139</v>
      </c>
      <c r="I880" s="1"/>
      <c r="J880" s="2">
        <v>330254.61</v>
      </c>
      <c r="K880" s="2">
        <v>211209.11</v>
      </c>
      <c r="L880" s="2">
        <v>265453.08</v>
      </c>
      <c r="M880">
        <v>2024</v>
      </c>
      <c r="N880">
        <v>1213</v>
      </c>
      <c r="O880" t="s">
        <v>34</v>
      </c>
      <c r="P880" s="2">
        <f>Tabela1[[#This Row],[orcamento_aprovado]]-Tabela1[[#This Row],[custo_real_acumulado]]</f>
        <v>119045.5</v>
      </c>
      <c r="Q880" t="str">
        <f>IF(Tabela1[[#This Row],[data_fim_real]]="","",Tabela1[[#This Row],[data_fim_real]]-Tabela1[[#This Row],[data_inicio_real]])</f>
        <v/>
      </c>
    </row>
    <row r="881" spans="1:17" ht="16.5" x14ac:dyDescent="0.5">
      <c r="A881" t="s">
        <v>2030</v>
      </c>
      <c r="B881" t="s">
        <v>2031</v>
      </c>
      <c r="C881" t="s">
        <v>224</v>
      </c>
      <c r="D881" t="s">
        <v>25</v>
      </c>
      <c r="E881" t="s">
        <v>19</v>
      </c>
      <c r="F881" s="1">
        <v>46190</v>
      </c>
      <c r="G881" s="1">
        <v>46299</v>
      </c>
      <c r="H881" s="1">
        <v>46195</v>
      </c>
      <c r="I881" s="1">
        <v>46344</v>
      </c>
      <c r="J881" s="2">
        <v>50000</v>
      </c>
      <c r="K881" s="2">
        <v>55091.35</v>
      </c>
      <c r="L881" s="2">
        <v>79014.61</v>
      </c>
      <c r="M881">
        <v>3068</v>
      </c>
      <c r="N881">
        <v>3639</v>
      </c>
      <c r="O881" t="s">
        <v>21</v>
      </c>
      <c r="P881" s="2">
        <f>Tabela1[[#This Row],[orcamento_aprovado]]-Tabela1[[#This Row],[custo_real_acumulado]]</f>
        <v>-5091.3499999999985</v>
      </c>
      <c r="Q881">
        <f>IF(Tabela1[[#This Row],[data_fim_real]]="","",Tabela1[[#This Row],[data_fim_real]]-Tabela1[[#This Row],[data_inicio_real]])</f>
        <v>149</v>
      </c>
    </row>
    <row r="882" spans="1:17" ht="16.5" x14ac:dyDescent="0.5">
      <c r="A882" t="s">
        <v>2032</v>
      </c>
      <c r="B882" t="s">
        <v>2033</v>
      </c>
      <c r="C882" t="s">
        <v>662</v>
      </c>
      <c r="D882" t="s">
        <v>25</v>
      </c>
      <c r="E882" t="s">
        <v>43</v>
      </c>
      <c r="F882" s="1">
        <v>46353</v>
      </c>
      <c r="G882" s="1">
        <v>46384</v>
      </c>
      <c r="H882" s="1">
        <v>46339</v>
      </c>
      <c r="I882" s="1"/>
      <c r="J882" s="2">
        <v>148289.31</v>
      </c>
      <c r="K882" s="2">
        <v>123028.99</v>
      </c>
      <c r="L882" s="2">
        <v>181356.32</v>
      </c>
      <c r="M882">
        <v>158</v>
      </c>
      <c r="N882">
        <v>107</v>
      </c>
      <c r="O882" t="s">
        <v>26</v>
      </c>
      <c r="P882" s="2">
        <f>Tabela1[[#This Row],[orcamento_aprovado]]-Tabela1[[#This Row],[custo_real_acumulado]]</f>
        <v>25260.319999999992</v>
      </c>
      <c r="Q882" t="str">
        <f>IF(Tabela1[[#This Row],[data_fim_real]]="","",Tabela1[[#This Row],[data_fim_real]]-Tabela1[[#This Row],[data_inicio_real]])</f>
        <v/>
      </c>
    </row>
    <row r="883" spans="1:17" ht="16.5" x14ac:dyDescent="0.5">
      <c r="A883" t="s">
        <v>2034</v>
      </c>
      <c r="B883" t="s">
        <v>2035</v>
      </c>
      <c r="C883" t="s">
        <v>555</v>
      </c>
      <c r="D883" t="s">
        <v>71</v>
      </c>
      <c r="E883" t="s">
        <v>20</v>
      </c>
      <c r="F883" s="1">
        <v>46024</v>
      </c>
      <c r="G883" s="1">
        <v>46070</v>
      </c>
      <c r="H883" s="1">
        <v>46023</v>
      </c>
      <c r="I883" s="1">
        <v>46056</v>
      </c>
      <c r="J883" s="2">
        <v>50000</v>
      </c>
      <c r="K883" s="2">
        <v>52653.68</v>
      </c>
      <c r="L883" s="2">
        <v>80781.83</v>
      </c>
      <c r="M883">
        <v>2100</v>
      </c>
      <c r="N883">
        <v>2031</v>
      </c>
      <c r="O883" t="s">
        <v>34</v>
      </c>
      <c r="P883" s="2">
        <f>Tabela1[[#This Row],[orcamento_aprovado]]-Tabela1[[#This Row],[custo_real_acumulado]]</f>
        <v>-2653.6800000000003</v>
      </c>
      <c r="Q883">
        <f>IF(Tabela1[[#This Row],[data_fim_real]]="","",Tabela1[[#This Row],[data_fim_real]]-Tabela1[[#This Row],[data_inicio_real]])</f>
        <v>33</v>
      </c>
    </row>
    <row r="884" spans="1:17" ht="16.5" x14ac:dyDescent="0.5">
      <c r="A884" t="s">
        <v>2036</v>
      </c>
      <c r="B884" t="s">
        <v>2037</v>
      </c>
      <c r="C884" t="s">
        <v>361</v>
      </c>
      <c r="D884" t="s">
        <v>54</v>
      </c>
      <c r="E884" t="s">
        <v>20</v>
      </c>
      <c r="F884" s="1">
        <v>46209</v>
      </c>
      <c r="G884" s="1">
        <v>46262</v>
      </c>
      <c r="H884" s="1">
        <v>46206</v>
      </c>
      <c r="I884" s="1"/>
      <c r="J884" s="2">
        <v>50000</v>
      </c>
      <c r="K884" s="2">
        <v>34777.54</v>
      </c>
      <c r="L884" s="2">
        <v>70043.53</v>
      </c>
      <c r="M884">
        <v>1035</v>
      </c>
      <c r="N884">
        <v>829</v>
      </c>
      <c r="O884" t="s">
        <v>21</v>
      </c>
      <c r="P884" s="2">
        <f>Tabela1[[#This Row],[orcamento_aprovado]]-Tabela1[[#This Row],[custo_real_acumulado]]</f>
        <v>15222.46</v>
      </c>
      <c r="Q884" t="str">
        <f>IF(Tabela1[[#This Row],[data_fim_real]]="","",Tabela1[[#This Row],[data_fim_real]]-Tabela1[[#This Row],[data_inicio_real]])</f>
        <v/>
      </c>
    </row>
    <row r="885" spans="1:17" ht="16.5" x14ac:dyDescent="0.5">
      <c r="A885" t="s">
        <v>2038</v>
      </c>
      <c r="B885" t="s">
        <v>2039</v>
      </c>
      <c r="C885" t="s">
        <v>974</v>
      </c>
      <c r="D885" t="s">
        <v>71</v>
      </c>
      <c r="E885" t="s">
        <v>19</v>
      </c>
      <c r="F885" s="1">
        <v>46286</v>
      </c>
      <c r="G885" s="1">
        <v>46382</v>
      </c>
      <c r="H885" s="1">
        <v>46309</v>
      </c>
      <c r="I885" s="1"/>
      <c r="J885" s="2">
        <v>245887.31</v>
      </c>
      <c r="K885" s="2">
        <v>93064.26</v>
      </c>
      <c r="L885" s="2">
        <v>396222.93</v>
      </c>
      <c r="M885">
        <v>1776</v>
      </c>
      <c r="N885">
        <v>772</v>
      </c>
      <c r="O885" t="s">
        <v>26</v>
      </c>
      <c r="P885" s="2">
        <f>Tabela1[[#This Row],[orcamento_aprovado]]-Tabela1[[#This Row],[custo_real_acumulado]]</f>
        <v>152823.04999999999</v>
      </c>
      <c r="Q885" t="str">
        <f>IF(Tabela1[[#This Row],[data_fim_real]]="","",Tabela1[[#This Row],[data_fim_real]]-Tabela1[[#This Row],[data_inicio_real]])</f>
        <v/>
      </c>
    </row>
    <row r="886" spans="1:17" ht="16.5" x14ac:dyDescent="0.5">
      <c r="A886" t="s">
        <v>2040</v>
      </c>
      <c r="B886" t="s">
        <v>2041</v>
      </c>
      <c r="C886" t="s">
        <v>258</v>
      </c>
      <c r="D886" t="s">
        <v>18</v>
      </c>
      <c r="E886" t="s">
        <v>20</v>
      </c>
      <c r="F886" s="1">
        <v>46315</v>
      </c>
      <c r="G886" s="1">
        <v>46354</v>
      </c>
      <c r="H886" s="1">
        <v>46332</v>
      </c>
      <c r="I886" s="1">
        <v>46364</v>
      </c>
      <c r="J886" s="2">
        <v>150759.32</v>
      </c>
      <c r="K886" s="2">
        <v>129513.52</v>
      </c>
      <c r="L886" s="2">
        <v>311912.34000000003</v>
      </c>
      <c r="M886">
        <v>586</v>
      </c>
      <c r="N886">
        <v>677</v>
      </c>
      <c r="O886" t="s">
        <v>34</v>
      </c>
      <c r="P886" s="2">
        <f>Tabela1[[#This Row],[orcamento_aprovado]]-Tabela1[[#This Row],[custo_real_acumulado]]</f>
        <v>21245.800000000003</v>
      </c>
      <c r="Q886">
        <f>IF(Tabela1[[#This Row],[data_fim_real]]="","",Tabela1[[#This Row],[data_fim_real]]-Tabela1[[#This Row],[data_inicio_real]])</f>
        <v>32</v>
      </c>
    </row>
    <row r="887" spans="1:17" ht="16.5" x14ac:dyDescent="0.5">
      <c r="A887" t="s">
        <v>2042</v>
      </c>
      <c r="B887" t="s">
        <v>2043</v>
      </c>
      <c r="C887" t="s">
        <v>433</v>
      </c>
      <c r="D887" t="s">
        <v>71</v>
      </c>
      <c r="E887" t="s">
        <v>19</v>
      </c>
      <c r="F887" s="1">
        <v>46025</v>
      </c>
      <c r="G887" s="1">
        <v>46185</v>
      </c>
      <c r="H887" s="1">
        <v>46023</v>
      </c>
      <c r="I887" s="1"/>
      <c r="J887" s="2">
        <v>75208.009999999995</v>
      </c>
      <c r="K887" s="2">
        <v>34694.57</v>
      </c>
      <c r="L887" s="2">
        <v>33347.839999999997</v>
      </c>
      <c r="M887">
        <v>3261</v>
      </c>
      <c r="N887">
        <v>1465</v>
      </c>
      <c r="O887" t="s">
        <v>21</v>
      </c>
      <c r="P887" s="2">
        <f>Tabela1[[#This Row],[orcamento_aprovado]]-Tabela1[[#This Row],[custo_real_acumulado]]</f>
        <v>40513.439999999995</v>
      </c>
      <c r="Q887" t="str">
        <f>IF(Tabela1[[#This Row],[data_fim_real]]="","",Tabela1[[#This Row],[data_fim_real]]-Tabela1[[#This Row],[data_inicio_real]])</f>
        <v/>
      </c>
    </row>
    <row r="888" spans="1:17" ht="16.5" x14ac:dyDescent="0.5">
      <c r="A888" t="s">
        <v>2044</v>
      </c>
      <c r="B888" t="s">
        <v>2045</v>
      </c>
      <c r="C888" t="s">
        <v>433</v>
      </c>
      <c r="D888" t="s">
        <v>18</v>
      </c>
      <c r="E888" t="s">
        <v>20</v>
      </c>
      <c r="F888" s="1">
        <v>46261</v>
      </c>
      <c r="G888" s="1">
        <v>46331</v>
      </c>
      <c r="H888" s="1">
        <v>46272</v>
      </c>
      <c r="I888" s="1">
        <v>46361</v>
      </c>
      <c r="J888" s="2">
        <v>138016.60999999999</v>
      </c>
      <c r="K888" s="2">
        <v>119116.89</v>
      </c>
      <c r="L888" s="2">
        <v>59581.89</v>
      </c>
      <c r="M888">
        <v>400</v>
      </c>
      <c r="N888">
        <v>445</v>
      </c>
      <c r="O888" t="s">
        <v>26</v>
      </c>
      <c r="P888" s="2">
        <f>Tabela1[[#This Row],[orcamento_aprovado]]-Tabela1[[#This Row],[custo_real_acumulado]]</f>
        <v>18899.719999999987</v>
      </c>
      <c r="Q888">
        <f>IF(Tabela1[[#This Row],[data_fim_real]]="","",Tabela1[[#This Row],[data_fim_real]]-Tabela1[[#This Row],[data_inicio_real]])</f>
        <v>89</v>
      </c>
    </row>
    <row r="889" spans="1:17" ht="16.5" x14ac:dyDescent="0.5">
      <c r="A889" t="s">
        <v>2046</v>
      </c>
      <c r="B889" t="s">
        <v>2047</v>
      </c>
      <c r="C889" t="s">
        <v>1328</v>
      </c>
      <c r="D889" t="s">
        <v>142</v>
      </c>
      <c r="E889" t="s">
        <v>43</v>
      </c>
      <c r="F889" s="1">
        <v>46293</v>
      </c>
      <c r="G889" s="1">
        <v>46387</v>
      </c>
      <c r="H889" s="1">
        <v>46309</v>
      </c>
      <c r="I889" s="1"/>
      <c r="J889" s="2">
        <v>389476.99</v>
      </c>
      <c r="K889" s="2">
        <v>165340.98000000001</v>
      </c>
      <c r="L889" s="2">
        <v>512825.48</v>
      </c>
      <c r="M889">
        <v>1625</v>
      </c>
      <c r="N889">
        <v>569</v>
      </c>
      <c r="O889" t="s">
        <v>34</v>
      </c>
      <c r="P889" s="2">
        <f>Tabela1[[#This Row],[orcamento_aprovado]]-Tabela1[[#This Row],[custo_real_acumulado]]</f>
        <v>224136.00999999998</v>
      </c>
      <c r="Q889" t="str">
        <f>IF(Tabela1[[#This Row],[data_fim_real]]="","",Tabela1[[#This Row],[data_fim_real]]-Tabela1[[#This Row],[data_inicio_real]])</f>
        <v/>
      </c>
    </row>
    <row r="890" spans="1:17" ht="16.5" x14ac:dyDescent="0.5">
      <c r="A890" t="s">
        <v>2048</v>
      </c>
      <c r="B890" t="s">
        <v>2049</v>
      </c>
      <c r="C890" t="s">
        <v>512</v>
      </c>
      <c r="D890" t="s">
        <v>50</v>
      </c>
      <c r="E890" t="s">
        <v>19</v>
      </c>
      <c r="F890" s="1">
        <v>46076</v>
      </c>
      <c r="G890" s="1">
        <v>46114</v>
      </c>
      <c r="H890" s="1">
        <v>46060</v>
      </c>
      <c r="I890" s="1">
        <v>46119</v>
      </c>
      <c r="J890" s="2">
        <v>156882.01</v>
      </c>
      <c r="K890" s="2">
        <v>156371.73000000001</v>
      </c>
      <c r="L890" s="2">
        <v>273849.94</v>
      </c>
      <c r="M890">
        <v>1026</v>
      </c>
      <c r="N890">
        <v>944</v>
      </c>
      <c r="O890" t="s">
        <v>21</v>
      </c>
      <c r="P890" s="2">
        <f>Tabela1[[#This Row],[orcamento_aprovado]]-Tabela1[[#This Row],[custo_real_acumulado]]</f>
        <v>510.27999999999884</v>
      </c>
      <c r="Q890">
        <f>IF(Tabela1[[#This Row],[data_fim_real]]="","",Tabela1[[#This Row],[data_fim_real]]-Tabela1[[#This Row],[data_inicio_real]])</f>
        <v>59</v>
      </c>
    </row>
    <row r="891" spans="1:17" ht="16.5" x14ac:dyDescent="0.5">
      <c r="A891" t="s">
        <v>2050</v>
      </c>
      <c r="B891" t="s">
        <v>2051</v>
      </c>
      <c r="C891" t="s">
        <v>1485</v>
      </c>
      <c r="D891" t="s">
        <v>25</v>
      </c>
      <c r="E891" t="s">
        <v>42</v>
      </c>
      <c r="F891" s="1">
        <v>46325</v>
      </c>
      <c r="G891" s="1">
        <v>46378</v>
      </c>
      <c r="H891" s="1">
        <v>46317</v>
      </c>
      <c r="I891" s="1"/>
      <c r="J891" s="2">
        <v>58405.9</v>
      </c>
      <c r="K891" s="2">
        <v>38076.1</v>
      </c>
      <c r="L891" s="2">
        <v>116179.85</v>
      </c>
      <c r="M891">
        <v>2212</v>
      </c>
      <c r="N891">
        <v>1238</v>
      </c>
      <c r="O891" t="s">
        <v>26</v>
      </c>
      <c r="P891" s="2">
        <f>Tabela1[[#This Row],[orcamento_aprovado]]-Tabela1[[#This Row],[custo_real_acumulado]]</f>
        <v>20329.800000000003</v>
      </c>
      <c r="Q891" t="str">
        <f>IF(Tabela1[[#This Row],[data_fim_real]]="","",Tabela1[[#This Row],[data_fim_real]]-Tabela1[[#This Row],[data_inicio_real]])</f>
        <v/>
      </c>
    </row>
    <row r="892" spans="1:17" ht="16.5" x14ac:dyDescent="0.5">
      <c r="A892" t="s">
        <v>2052</v>
      </c>
      <c r="B892" t="s">
        <v>2053</v>
      </c>
      <c r="C892" t="s">
        <v>340</v>
      </c>
      <c r="D892" t="s">
        <v>33</v>
      </c>
      <c r="E892" t="s">
        <v>19</v>
      </c>
      <c r="F892" s="1">
        <v>46255</v>
      </c>
      <c r="G892" s="1">
        <v>46310</v>
      </c>
      <c r="H892" s="1">
        <v>46275</v>
      </c>
      <c r="I892" s="1">
        <v>46308</v>
      </c>
      <c r="J892" s="2">
        <v>98677.97</v>
      </c>
      <c r="K892" s="2">
        <v>92105.8</v>
      </c>
      <c r="L892" s="2">
        <v>60135.19</v>
      </c>
      <c r="M892">
        <v>2338</v>
      </c>
      <c r="N892">
        <v>2113</v>
      </c>
      <c r="O892" t="s">
        <v>34</v>
      </c>
      <c r="P892" s="2">
        <f>Tabela1[[#This Row],[orcamento_aprovado]]-Tabela1[[#This Row],[custo_real_acumulado]]</f>
        <v>6572.1699999999983</v>
      </c>
      <c r="Q892">
        <f>IF(Tabela1[[#This Row],[data_fim_real]]="","",Tabela1[[#This Row],[data_fim_real]]-Tabela1[[#This Row],[data_inicio_real]])</f>
        <v>33</v>
      </c>
    </row>
    <row r="893" spans="1:17" ht="16.5" x14ac:dyDescent="0.5">
      <c r="A893" t="s">
        <v>2054</v>
      </c>
      <c r="B893" t="s">
        <v>2055</v>
      </c>
      <c r="C893" t="s">
        <v>756</v>
      </c>
      <c r="D893" t="s">
        <v>142</v>
      </c>
      <c r="E893" t="s">
        <v>42</v>
      </c>
      <c r="F893" s="1">
        <v>46269</v>
      </c>
      <c r="G893" s="1">
        <v>46309</v>
      </c>
      <c r="H893" s="1">
        <v>46285</v>
      </c>
      <c r="I893" s="1"/>
      <c r="J893" s="2">
        <v>308525.69</v>
      </c>
      <c r="K893" s="2">
        <v>102897.19</v>
      </c>
      <c r="L893" s="2">
        <v>643126.47</v>
      </c>
      <c r="M893">
        <v>425</v>
      </c>
      <c r="N893">
        <v>146</v>
      </c>
      <c r="O893" t="s">
        <v>21</v>
      </c>
      <c r="P893" s="2">
        <f>Tabela1[[#This Row],[orcamento_aprovado]]-Tabela1[[#This Row],[custo_real_acumulado]]</f>
        <v>205628.5</v>
      </c>
      <c r="Q893" t="str">
        <f>IF(Tabela1[[#This Row],[data_fim_real]]="","",Tabela1[[#This Row],[data_fim_real]]-Tabela1[[#This Row],[data_inicio_real]])</f>
        <v/>
      </c>
    </row>
    <row r="894" spans="1:17" ht="16.5" x14ac:dyDescent="0.5">
      <c r="A894" t="s">
        <v>2056</v>
      </c>
      <c r="B894" t="s">
        <v>2057</v>
      </c>
      <c r="C894" t="s">
        <v>197</v>
      </c>
      <c r="D894" t="s">
        <v>142</v>
      </c>
      <c r="E894" t="s">
        <v>19</v>
      </c>
      <c r="F894" s="1">
        <v>46234</v>
      </c>
      <c r="G894" s="1">
        <v>46326</v>
      </c>
      <c r="H894" s="1">
        <v>46236</v>
      </c>
      <c r="I894" s="1"/>
      <c r="J894" s="2">
        <v>136431.82</v>
      </c>
      <c r="K894" s="2">
        <v>15666.7</v>
      </c>
      <c r="L894" s="2">
        <v>97783.9</v>
      </c>
      <c r="M894">
        <v>4643</v>
      </c>
      <c r="N894">
        <v>606</v>
      </c>
      <c r="O894" t="s">
        <v>26</v>
      </c>
      <c r="P894" s="2">
        <f>Tabela1[[#This Row],[orcamento_aprovado]]-Tabela1[[#This Row],[custo_real_acumulado]]</f>
        <v>120765.12000000001</v>
      </c>
      <c r="Q894" t="str">
        <f>IF(Tabela1[[#This Row],[data_fim_real]]="","",Tabela1[[#This Row],[data_fim_real]]-Tabela1[[#This Row],[data_inicio_real]])</f>
        <v/>
      </c>
    </row>
    <row r="895" spans="1:17" ht="16.5" x14ac:dyDescent="0.5">
      <c r="A895" t="s">
        <v>2058</v>
      </c>
      <c r="B895" t="s">
        <v>2059</v>
      </c>
      <c r="C895" t="s">
        <v>1513</v>
      </c>
      <c r="D895" t="s">
        <v>58</v>
      </c>
      <c r="E895" t="s">
        <v>20</v>
      </c>
      <c r="F895" s="1">
        <v>46311</v>
      </c>
      <c r="G895" s="1">
        <v>46382</v>
      </c>
      <c r="H895" s="1">
        <v>46305</v>
      </c>
      <c r="I895" s="1">
        <v>46387</v>
      </c>
      <c r="J895" s="2">
        <v>50000</v>
      </c>
      <c r="K895" s="2">
        <v>59141.24</v>
      </c>
      <c r="L895" s="2">
        <v>22953.79</v>
      </c>
      <c r="M895">
        <v>1533</v>
      </c>
      <c r="N895">
        <v>1622</v>
      </c>
      <c r="O895" t="s">
        <v>34</v>
      </c>
      <c r="P895" s="2">
        <f>Tabela1[[#This Row],[orcamento_aprovado]]-Tabela1[[#This Row],[custo_real_acumulado]]</f>
        <v>-9141.239999999998</v>
      </c>
      <c r="Q895">
        <f>IF(Tabela1[[#This Row],[data_fim_real]]="","",Tabela1[[#This Row],[data_fim_real]]-Tabela1[[#This Row],[data_inicio_real]])</f>
        <v>82</v>
      </c>
    </row>
    <row r="896" spans="1:17" ht="16.5" x14ac:dyDescent="0.5">
      <c r="A896" t="s">
        <v>2060</v>
      </c>
      <c r="B896" t="s">
        <v>2061</v>
      </c>
      <c r="C896" t="s">
        <v>376</v>
      </c>
      <c r="D896" t="s">
        <v>58</v>
      </c>
      <c r="E896" t="s">
        <v>43</v>
      </c>
      <c r="F896" s="1">
        <v>46245</v>
      </c>
      <c r="G896" s="1">
        <v>46387</v>
      </c>
      <c r="H896" s="1">
        <v>46249</v>
      </c>
      <c r="I896" s="1">
        <v>46387</v>
      </c>
      <c r="J896" s="2">
        <v>68423.56</v>
      </c>
      <c r="K896" s="2">
        <v>71074.100000000006</v>
      </c>
      <c r="L896" s="2">
        <v>133481.79999999999</v>
      </c>
      <c r="M896">
        <v>5283</v>
      </c>
      <c r="N896">
        <v>5458</v>
      </c>
      <c r="O896" t="s">
        <v>21</v>
      </c>
      <c r="P896" s="2">
        <f>Tabela1[[#This Row],[orcamento_aprovado]]-Tabela1[[#This Row],[custo_real_acumulado]]</f>
        <v>-2650.5400000000081</v>
      </c>
      <c r="Q896">
        <f>IF(Tabela1[[#This Row],[data_fim_real]]="","",Tabela1[[#This Row],[data_fim_real]]-Tabela1[[#This Row],[data_inicio_real]])</f>
        <v>138</v>
      </c>
    </row>
    <row r="897" spans="1:17" ht="16.5" x14ac:dyDescent="0.5">
      <c r="A897" t="s">
        <v>2062</v>
      </c>
      <c r="B897" t="s">
        <v>2063</v>
      </c>
      <c r="C897" t="s">
        <v>2064</v>
      </c>
      <c r="D897" t="s">
        <v>71</v>
      </c>
      <c r="E897" t="s">
        <v>43</v>
      </c>
      <c r="F897" s="1">
        <v>46044</v>
      </c>
      <c r="G897" s="1">
        <v>46083</v>
      </c>
      <c r="H897" s="1">
        <v>46045</v>
      </c>
      <c r="I897" s="1"/>
      <c r="J897" s="2">
        <v>93593.78</v>
      </c>
      <c r="K897" s="2">
        <v>23548.91</v>
      </c>
      <c r="L897" s="2">
        <v>43013.83</v>
      </c>
      <c r="M897">
        <v>691</v>
      </c>
      <c r="N897">
        <v>121</v>
      </c>
      <c r="O897" t="s">
        <v>26</v>
      </c>
      <c r="P897" s="2">
        <f>Tabela1[[#This Row],[orcamento_aprovado]]-Tabela1[[#This Row],[custo_real_acumulado]]</f>
        <v>70044.87</v>
      </c>
      <c r="Q897" t="str">
        <f>IF(Tabela1[[#This Row],[data_fim_real]]="","",Tabela1[[#This Row],[data_fim_real]]-Tabela1[[#This Row],[data_inicio_real]])</f>
        <v/>
      </c>
    </row>
    <row r="898" spans="1:17" ht="16.5" x14ac:dyDescent="0.5">
      <c r="A898" t="s">
        <v>2065</v>
      </c>
      <c r="B898" t="s">
        <v>2066</v>
      </c>
      <c r="C898" t="s">
        <v>677</v>
      </c>
      <c r="D898" t="s">
        <v>71</v>
      </c>
      <c r="E898" t="s">
        <v>20</v>
      </c>
      <c r="F898" s="1">
        <v>46259</v>
      </c>
      <c r="G898" s="1">
        <v>46332</v>
      </c>
      <c r="H898" s="1">
        <v>46259</v>
      </c>
      <c r="I898" s="1"/>
      <c r="J898" s="2">
        <v>50000</v>
      </c>
      <c r="K898" s="2">
        <v>30087.58</v>
      </c>
      <c r="L898" s="2">
        <v>36422.79</v>
      </c>
      <c r="M898">
        <v>1395</v>
      </c>
      <c r="N898">
        <v>654</v>
      </c>
      <c r="O898" t="s">
        <v>34</v>
      </c>
      <c r="P898" s="2">
        <f>Tabela1[[#This Row],[orcamento_aprovado]]-Tabela1[[#This Row],[custo_real_acumulado]]</f>
        <v>19912.419999999998</v>
      </c>
      <c r="Q898" t="str">
        <f>IF(Tabela1[[#This Row],[data_fim_real]]="","",Tabela1[[#This Row],[data_fim_real]]-Tabela1[[#This Row],[data_inicio_real]])</f>
        <v/>
      </c>
    </row>
    <row r="899" spans="1:17" ht="16.5" x14ac:dyDescent="0.5">
      <c r="A899" t="s">
        <v>2067</v>
      </c>
      <c r="B899" t="s">
        <v>2068</v>
      </c>
      <c r="C899" t="s">
        <v>364</v>
      </c>
      <c r="D899" t="s">
        <v>18</v>
      </c>
      <c r="E899" t="s">
        <v>20</v>
      </c>
      <c r="F899" s="1">
        <v>46369</v>
      </c>
      <c r="G899" s="1">
        <v>46387</v>
      </c>
      <c r="H899" s="1">
        <v>46369</v>
      </c>
      <c r="I899" s="1"/>
      <c r="J899" s="2">
        <v>50000</v>
      </c>
      <c r="K899" s="2">
        <v>45028.84</v>
      </c>
      <c r="L899" s="2">
        <v>91712.38</v>
      </c>
      <c r="M899">
        <v>627</v>
      </c>
      <c r="N899">
        <v>572</v>
      </c>
      <c r="O899" t="s">
        <v>21</v>
      </c>
      <c r="P899" s="2">
        <f>Tabela1[[#This Row],[orcamento_aprovado]]-Tabela1[[#This Row],[custo_real_acumulado]]</f>
        <v>4971.1600000000035</v>
      </c>
      <c r="Q899" t="str">
        <f>IF(Tabela1[[#This Row],[data_fim_real]]="","",Tabela1[[#This Row],[data_fim_real]]-Tabela1[[#This Row],[data_inicio_real]])</f>
        <v/>
      </c>
    </row>
    <row r="900" spans="1:17" ht="16.5" x14ac:dyDescent="0.5">
      <c r="A900" t="s">
        <v>2069</v>
      </c>
      <c r="B900" t="s">
        <v>2070</v>
      </c>
      <c r="C900" t="s">
        <v>32</v>
      </c>
      <c r="D900" t="s">
        <v>38</v>
      </c>
      <c r="E900" t="s">
        <v>19</v>
      </c>
      <c r="F900" s="1">
        <v>46224</v>
      </c>
      <c r="G900" s="1">
        <v>46255</v>
      </c>
      <c r="H900" s="1">
        <v>46224</v>
      </c>
      <c r="I900" s="1"/>
      <c r="J900" s="2">
        <v>152452.07999999999</v>
      </c>
      <c r="K900" s="2">
        <v>161890.31</v>
      </c>
      <c r="L900" s="2">
        <v>180679.54</v>
      </c>
      <c r="M900">
        <v>922</v>
      </c>
      <c r="N900">
        <v>752</v>
      </c>
      <c r="O900" t="s">
        <v>26</v>
      </c>
      <c r="P900" s="2">
        <f>Tabela1[[#This Row],[orcamento_aprovado]]-Tabela1[[#This Row],[custo_real_acumulado]]</f>
        <v>-9438.2300000000105</v>
      </c>
      <c r="Q900" t="str">
        <f>IF(Tabela1[[#This Row],[data_fim_real]]="","",Tabela1[[#This Row],[data_fim_real]]-Tabela1[[#This Row],[data_inicio_real]])</f>
        <v/>
      </c>
    </row>
    <row r="901" spans="1:17" ht="16.5" x14ac:dyDescent="0.5">
      <c r="A901" t="s">
        <v>2071</v>
      </c>
      <c r="B901" t="s">
        <v>1764</v>
      </c>
      <c r="C901" t="s">
        <v>782</v>
      </c>
      <c r="D901" t="s">
        <v>38</v>
      </c>
      <c r="E901" t="s">
        <v>43</v>
      </c>
      <c r="F901" s="1">
        <v>46057</v>
      </c>
      <c r="G901" s="1">
        <v>46106</v>
      </c>
      <c r="H901" s="1">
        <v>46067</v>
      </c>
      <c r="I901" s="1"/>
      <c r="J901" s="2">
        <v>156296.34</v>
      </c>
      <c r="K901" s="2">
        <v>132829.43</v>
      </c>
      <c r="L901" s="2">
        <v>63869.15</v>
      </c>
      <c r="M901">
        <v>488</v>
      </c>
      <c r="N901">
        <v>392</v>
      </c>
      <c r="O901" t="s">
        <v>34</v>
      </c>
      <c r="P901" s="2">
        <f>Tabela1[[#This Row],[orcamento_aprovado]]-Tabela1[[#This Row],[custo_real_acumulado]]</f>
        <v>23466.910000000003</v>
      </c>
      <c r="Q901" t="str">
        <f>IF(Tabela1[[#This Row],[data_fim_real]]="","",Tabela1[[#This Row],[data_fim_real]]-Tabela1[[#This Row],[data_inicio_real]])</f>
        <v/>
      </c>
    </row>
    <row r="902" spans="1:17" ht="16.5" x14ac:dyDescent="0.5">
      <c r="A902" t="s">
        <v>2072</v>
      </c>
      <c r="B902" t="s">
        <v>2073</v>
      </c>
      <c r="C902" t="s">
        <v>854</v>
      </c>
      <c r="D902" t="s">
        <v>50</v>
      </c>
      <c r="E902" t="s">
        <v>19</v>
      </c>
      <c r="F902" s="1">
        <v>46379</v>
      </c>
      <c r="G902" s="1">
        <v>46387</v>
      </c>
      <c r="H902" s="1">
        <v>46387</v>
      </c>
      <c r="I902" s="1"/>
      <c r="J902" s="2">
        <v>50000</v>
      </c>
      <c r="K902" s="2">
        <v>35452.47</v>
      </c>
      <c r="L902" s="2">
        <v>17754.310000000001</v>
      </c>
      <c r="M902">
        <v>322</v>
      </c>
      <c r="N902">
        <v>220</v>
      </c>
      <c r="O902" t="s">
        <v>21</v>
      </c>
      <c r="P902" s="2">
        <f>Tabela1[[#This Row],[orcamento_aprovado]]-Tabela1[[#This Row],[custo_real_acumulado]]</f>
        <v>14547.529999999999</v>
      </c>
      <c r="Q902" t="str">
        <f>IF(Tabela1[[#This Row],[data_fim_real]]="","",Tabela1[[#This Row],[data_fim_real]]-Tabela1[[#This Row],[data_inicio_real]])</f>
        <v/>
      </c>
    </row>
    <row r="903" spans="1:17" ht="16.5" x14ac:dyDescent="0.5">
      <c r="A903" t="s">
        <v>2074</v>
      </c>
      <c r="B903" t="s">
        <v>2075</v>
      </c>
      <c r="C903" t="s">
        <v>70</v>
      </c>
      <c r="D903" t="s">
        <v>25</v>
      </c>
      <c r="E903" t="s">
        <v>43</v>
      </c>
      <c r="F903" s="1">
        <v>46293</v>
      </c>
      <c r="G903" s="1">
        <v>46387</v>
      </c>
      <c r="H903" s="1">
        <v>46305</v>
      </c>
      <c r="I903" s="1"/>
      <c r="J903" s="2">
        <v>185316.61</v>
      </c>
      <c r="K903" s="2">
        <v>157502.16</v>
      </c>
      <c r="L903" s="2">
        <v>233029.17</v>
      </c>
      <c r="M903">
        <v>3979</v>
      </c>
      <c r="N903">
        <v>2738</v>
      </c>
      <c r="O903" t="s">
        <v>26</v>
      </c>
      <c r="P903" s="2">
        <f>Tabela1[[#This Row],[orcamento_aprovado]]-Tabela1[[#This Row],[custo_real_acumulado]]</f>
        <v>27814.449999999983</v>
      </c>
      <c r="Q903" t="str">
        <f>IF(Tabela1[[#This Row],[data_fim_real]]="","",Tabela1[[#This Row],[data_fim_real]]-Tabela1[[#This Row],[data_inicio_real]])</f>
        <v/>
      </c>
    </row>
    <row r="904" spans="1:17" ht="16.5" x14ac:dyDescent="0.5">
      <c r="A904" t="s">
        <v>2076</v>
      </c>
      <c r="B904" t="s">
        <v>784</v>
      </c>
      <c r="C904" t="s">
        <v>157</v>
      </c>
      <c r="D904" t="s">
        <v>78</v>
      </c>
      <c r="E904" t="s">
        <v>43</v>
      </c>
      <c r="F904" s="1">
        <v>46169</v>
      </c>
      <c r="G904" s="1">
        <v>46183</v>
      </c>
      <c r="H904" s="1"/>
      <c r="I904" s="1"/>
      <c r="J904" s="2">
        <v>50765.37</v>
      </c>
      <c r="K904" s="2">
        <v>0</v>
      </c>
      <c r="L904" s="2">
        <v>34132.58</v>
      </c>
      <c r="M904">
        <v>520</v>
      </c>
      <c r="N904">
        <v>0</v>
      </c>
      <c r="O904" t="s">
        <v>34</v>
      </c>
      <c r="P904" s="2">
        <f>Tabela1[[#This Row],[orcamento_aprovado]]-Tabela1[[#This Row],[custo_real_acumulado]]</f>
        <v>50765.37</v>
      </c>
      <c r="Q904" t="str">
        <f>IF(Tabela1[[#This Row],[data_fim_real]]="","",Tabela1[[#This Row],[data_fim_real]]-Tabela1[[#This Row],[data_inicio_real]])</f>
        <v/>
      </c>
    </row>
    <row r="905" spans="1:17" ht="16.5" x14ac:dyDescent="0.5">
      <c r="A905" t="s">
        <v>2077</v>
      </c>
      <c r="B905" t="s">
        <v>2078</v>
      </c>
      <c r="C905" t="s">
        <v>888</v>
      </c>
      <c r="D905" t="s">
        <v>25</v>
      </c>
      <c r="E905" t="s">
        <v>43</v>
      </c>
      <c r="F905" s="1">
        <v>46057</v>
      </c>
      <c r="G905" s="1">
        <v>46128</v>
      </c>
      <c r="H905" s="1">
        <v>46048</v>
      </c>
      <c r="I905" s="1">
        <v>46062</v>
      </c>
      <c r="J905" s="2">
        <v>102453.98</v>
      </c>
      <c r="K905" s="2">
        <v>9190.85</v>
      </c>
      <c r="L905" s="2">
        <v>64969.14</v>
      </c>
      <c r="M905">
        <v>3436</v>
      </c>
      <c r="N905">
        <v>304</v>
      </c>
      <c r="O905" t="s">
        <v>21</v>
      </c>
      <c r="P905" s="2">
        <f>Tabela1[[#This Row],[orcamento_aprovado]]-Tabela1[[#This Row],[custo_real_acumulado]]</f>
        <v>93263.12999999999</v>
      </c>
      <c r="Q905">
        <f>IF(Tabela1[[#This Row],[data_fim_real]]="","",Tabela1[[#This Row],[data_fim_real]]-Tabela1[[#This Row],[data_inicio_real]])</f>
        <v>14</v>
      </c>
    </row>
    <row r="906" spans="1:17" ht="16.5" x14ac:dyDescent="0.5">
      <c r="A906" t="s">
        <v>2079</v>
      </c>
      <c r="B906" t="s">
        <v>2080</v>
      </c>
      <c r="C906" t="s">
        <v>1167</v>
      </c>
      <c r="D906" t="s">
        <v>18</v>
      </c>
      <c r="E906" t="s">
        <v>20</v>
      </c>
      <c r="F906" s="1">
        <v>46361</v>
      </c>
      <c r="G906" s="1">
        <v>46387</v>
      </c>
      <c r="H906" s="1">
        <v>46364</v>
      </c>
      <c r="I906" s="1"/>
      <c r="J906" s="2">
        <v>73012.75</v>
      </c>
      <c r="K906" s="2">
        <v>38728.26</v>
      </c>
      <c r="L906" s="2">
        <v>74439.570000000007</v>
      </c>
      <c r="M906">
        <v>762</v>
      </c>
      <c r="N906">
        <v>472</v>
      </c>
      <c r="O906" t="s">
        <v>26</v>
      </c>
      <c r="P906" s="2">
        <f>Tabela1[[#This Row],[orcamento_aprovado]]-Tabela1[[#This Row],[custo_real_acumulado]]</f>
        <v>34284.49</v>
      </c>
      <c r="Q906" t="str">
        <f>IF(Tabela1[[#This Row],[data_fim_real]]="","",Tabela1[[#This Row],[data_fim_real]]-Tabela1[[#This Row],[data_inicio_real]])</f>
        <v/>
      </c>
    </row>
    <row r="907" spans="1:17" ht="16.5" x14ac:dyDescent="0.5">
      <c r="A907" t="s">
        <v>2081</v>
      </c>
      <c r="B907" t="s">
        <v>2082</v>
      </c>
      <c r="C907" t="s">
        <v>1080</v>
      </c>
      <c r="D907" t="s">
        <v>71</v>
      </c>
      <c r="E907" t="s">
        <v>19</v>
      </c>
      <c r="F907" s="1">
        <v>46283</v>
      </c>
      <c r="G907" s="1">
        <v>46360</v>
      </c>
      <c r="H907" s="1">
        <v>46294</v>
      </c>
      <c r="I907" s="1"/>
      <c r="J907" s="2">
        <v>388420.48</v>
      </c>
      <c r="K907" s="2">
        <v>454605.46</v>
      </c>
      <c r="L907" s="2">
        <v>293974.71000000002</v>
      </c>
      <c r="M907">
        <v>2392</v>
      </c>
      <c r="N907">
        <v>2051</v>
      </c>
      <c r="O907" t="s">
        <v>34</v>
      </c>
      <c r="P907" s="2">
        <f>Tabela1[[#This Row],[orcamento_aprovado]]-Tabela1[[#This Row],[custo_real_acumulado]]</f>
        <v>-66184.98000000004</v>
      </c>
      <c r="Q907" t="str">
        <f>IF(Tabela1[[#This Row],[data_fim_real]]="","",Tabela1[[#This Row],[data_fim_real]]-Tabela1[[#This Row],[data_inicio_real]])</f>
        <v/>
      </c>
    </row>
    <row r="908" spans="1:17" ht="16.5" x14ac:dyDescent="0.5">
      <c r="A908" t="s">
        <v>2083</v>
      </c>
      <c r="B908" t="s">
        <v>2084</v>
      </c>
      <c r="C908" t="s">
        <v>463</v>
      </c>
      <c r="D908" t="s">
        <v>50</v>
      </c>
      <c r="E908" t="s">
        <v>43</v>
      </c>
      <c r="F908" s="1">
        <v>46299</v>
      </c>
      <c r="G908" s="1">
        <v>46387</v>
      </c>
      <c r="H908" s="1">
        <v>46304</v>
      </c>
      <c r="I908" s="1"/>
      <c r="J908" s="2">
        <v>92080.56</v>
      </c>
      <c r="K908" s="2">
        <v>24734</v>
      </c>
      <c r="L908" s="2">
        <v>128687.2</v>
      </c>
      <c r="M908">
        <v>1444</v>
      </c>
      <c r="N908">
        <v>420</v>
      </c>
      <c r="O908" t="s">
        <v>21</v>
      </c>
      <c r="P908" s="2">
        <f>Tabela1[[#This Row],[orcamento_aprovado]]-Tabela1[[#This Row],[custo_real_acumulado]]</f>
        <v>67346.559999999998</v>
      </c>
      <c r="Q908" t="str">
        <f>IF(Tabela1[[#This Row],[data_fim_real]]="","",Tabela1[[#This Row],[data_fim_real]]-Tabela1[[#This Row],[data_inicio_real]])</f>
        <v/>
      </c>
    </row>
    <row r="909" spans="1:17" ht="16.5" x14ac:dyDescent="0.5">
      <c r="A909" t="s">
        <v>2085</v>
      </c>
      <c r="B909" t="s">
        <v>2086</v>
      </c>
      <c r="C909" t="s">
        <v>642</v>
      </c>
      <c r="D909" t="s">
        <v>25</v>
      </c>
      <c r="E909" t="s">
        <v>43</v>
      </c>
      <c r="F909" s="1">
        <v>46103</v>
      </c>
      <c r="G909" s="1">
        <v>46128</v>
      </c>
      <c r="H909" s="1">
        <v>46106</v>
      </c>
      <c r="I909" s="1"/>
      <c r="J909" s="2">
        <v>274506.09000000003</v>
      </c>
      <c r="K909" s="2">
        <v>184641.09</v>
      </c>
      <c r="L909" s="2">
        <v>499683.61</v>
      </c>
      <c r="M909">
        <v>762</v>
      </c>
      <c r="N909">
        <v>471</v>
      </c>
      <c r="O909" t="s">
        <v>26</v>
      </c>
      <c r="P909" s="2">
        <f>Tabela1[[#This Row],[orcamento_aprovado]]-Tabela1[[#This Row],[custo_real_acumulado]]</f>
        <v>89865.000000000029</v>
      </c>
      <c r="Q909" t="str">
        <f>IF(Tabela1[[#This Row],[data_fim_real]]="","",Tabela1[[#This Row],[data_fim_real]]-Tabela1[[#This Row],[data_inicio_real]])</f>
        <v/>
      </c>
    </row>
    <row r="910" spans="1:17" ht="16.5" x14ac:dyDescent="0.5">
      <c r="A910" t="s">
        <v>2087</v>
      </c>
      <c r="B910" t="s">
        <v>2088</v>
      </c>
      <c r="C910" t="s">
        <v>2089</v>
      </c>
      <c r="D910" t="s">
        <v>71</v>
      </c>
      <c r="E910" t="s">
        <v>43</v>
      </c>
      <c r="F910" s="1">
        <v>46068</v>
      </c>
      <c r="G910" s="1">
        <v>46138</v>
      </c>
      <c r="H910" s="1">
        <v>46070</v>
      </c>
      <c r="I910" s="1"/>
      <c r="J910" s="2">
        <v>55790.080000000002</v>
      </c>
      <c r="K910" s="2">
        <v>48540.79</v>
      </c>
      <c r="L910" s="2">
        <v>59888.5</v>
      </c>
      <c r="M910">
        <v>2570</v>
      </c>
      <c r="N910">
        <v>2585</v>
      </c>
      <c r="O910" t="s">
        <v>34</v>
      </c>
      <c r="P910" s="2">
        <f>Tabela1[[#This Row],[orcamento_aprovado]]-Tabela1[[#This Row],[custo_real_acumulado]]</f>
        <v>7249.2900000000009</v>
      </c>
      <c r="Q910" t="str">
        <f>IF(Tabela1[[#This Row],[data_fim_real]]="","",Tabela1[[#This Row],[data_fim_real]]-Tabela1[[#This Row],[data_inicio_real]])</f>
        <v/>
      </c>
    </row>
    <row r="911" spans="1:17" ht="16.5" x14ac:dyDescent="0.5">
      <c r="A911" t="s">
        <v>2090</v>
      </c>
      <c r="B911" t="s">
        <v>2091</v>
      </c>
      <c r="C911" t="s">
        <v>919</v>
      </c>
      <c r="D911" t="s">
        <v>50</v>
      </c>
      <c r="E911" t="s">
        <v>43</v>
      </c>
      <c r="F911" s="1">
        <v>46360</v>
      </c>
      <c r="G911" s="1">
        <v>46387</v>
      </c>
      <c r="H911" s="1">
        <v>46359</v>
      </c>
      <c r="I911" s="1"/>
      <c r="J911" s="2">
        <v>240001.37</v>
      </c>
      <c r="K911" s="2">
        <v>190578.06</v>
      </c>
      <c r="L911" s="2">
        <v>482574.22</v>
      </c>
      <c r="M911">
        <v>688</v>
      </c>
      <c r="N911">
        <v>531</v>
      </c>
      <c r="O911" t="s">
        <v>21</v>
      </c>
      <c r="P911" s="2">
        <f>Tabela1[[#This Row],[orcamento_aprovado]]-Tabela1[[#This Row],[custo_real_acumulado]]</f>
        <v>49423.31</v>
      </c>
      <c r="Q911" t="str">
        <f>IF(Tabela1[[#This Row],[data_fim_real]]="","",Tabela1[[#This Row],[data_fim_real]]-Tabela1[[#This Row],[data_inicio_real]])</f>
        <v/>
      </c>
    </row>
    <row r="912" spans="1:17" ht="16.5" x14ac:dyDescent="0.5">
      <c r="A912" t="s">
        <v>2092</v>
      </c>
      <c r="B912" t="s">
        <v>2093</v>
      </c>
      <c r="C912" t="s">
        <v>70</v>
      </c>
      <c r="D912" t="s">
        <v>58</v>
      </c>
      <c r="E912" t="s">
        <v>42</v>
      </c>
      <c r="F912" s="1">
        <v>46100</v>
      </c>
      <c r="G912" s="1">
        <v>46153</v>
      </c>
      <c r="H912" s="1">
        <v>46105</v>
      </c>
      <c r="I912" s="1"/>
      <c r="J912" s="2">
        <v>112356.62</v>
      </c>
      <c r="K912" s="2">
        <v>94941.68</v>
      </c>
      <c r="L912" s="2">
        <v>245773.45</v>
      </c>
      <c r="M912">
        <v>816</v>
      </c>
      <c r="N912">
        <v>518</v>
      </c>
      <c r="O912" t="s">
        <v>26</v>
      </c>
      <c r="P912" s="2">
        <f>Tabela1[[#This Row],[orcamento_aprovado]]-Tabela1[[#This Row],[custo_real_acumulado]]</f>
        <v>17414.940000000002</v>
      </c>
      <c r="Q912" t="str">
        <f>IF(Tabela1[[#This Row],[data_fim_real]]="","",Tabela1[[#This Row],[data_fim_real]]-Tabela1[[#This Row],[data_inicio_real]])</f>
        <v/>
      </c>
    </row>
    <row r="913" spans="1:17" ht="16.5" x14ac:dyDescent="0.5">
      <c r="A913" t="s">
        <v>2094</v>
      </c>
      <c r="B913" t="s">
        <v>2095</v>
      </c>
      <c r="C913" t="s">
        <v>361</v>
      </c>
      <c r="D913" t="s">
        <v>54</v>
      </c>
      <c r="E913" t="s">
        <v>43</v>
      </c>
      <c r="F913" s="1">
        <v>46296</v>
      </c>
      <c r="G913" s="1">
        <v>46387</v>
      </c>
      <c r="H913" s="1">
        <v>46313</v>
      </c>
      <c r="I913" s="1"/>
      <c r="J913" s="2">
        <v>188647.13</v>
      </c>
      <c r="K913" s="2">
        <v>93735.96</v>
      </c>
      <c r="L913" s="2">
        <v>254946.34</v>
      </c>
      <c r="M913">
        <v>3765</v>
      </c>
      <c r="N913">
        <v>2244</v>
      </c>
      <c r="O913" t="s">
        <v>34</v>
      </c>
      <c r="P913" s="2">
        <f>Tabela1[[#This Row],[orcamento_aprovado]]-Tabela1[[#This Row],[custo_real_acumulado]]</f>
        <v>94911.17</v>
      </c>
      <c r="Q913" t="str">
        <f>IF(Tabela1[[#This Row],[data_fim_real]]="","",Tabela1[[#This Row],[data_fim_real]]-Tabela1[[#This Row],[data_inicio_real]])</f>
        <v/>
      </c>
    </row>
    <row r="914" spans="1:17" ht="16.5" x14ac:dyDescent="0.5">
      <c r="A914" t="s">
        <v>2096</v>
      </c>
      <c r="B914" t="s">
        <v>2097</v>
      </c>
      <c r="C914" t="s">
        <v>667</v>
      </c>
      <c r="D914" t="s">
        <v>18</v>
      </c>
      <c r="E914" t="s">
        <v>20</v>
      </c>
      <c r="F914" s="1">
        <v>46080</v>
      </c>
      <c r="G914" s="1">
        <v>46147</v>
      </c>
      <c r="H914" s="1"/>
      <c r="I914" s="1"/>
      <c r="J914" s="2">
        <v>50000</v>
      </c>
      <c r="K914" s="2">
        <v>0</v>
      </c>
      <c r="L914" s="2">
        <v>82061.13</v>
      </c>
      <c r="M914">
        <v>2222</v>
      </c>
      <c r="N914">
        <v>0</v>
      </c>
      <c r="O914" t="s">
        <v>21</v>
      </c>
      <c r="P914" s="2">
        <f>Tabela1[[#This Row],[orcamento_aprovado]]-Tabela1[[#This Row],[custo_real_acumulado]]</f>
        <v>50000</v>
      </c>
      <c r="Q914" t="str">
        <f>IF(Tabela1[[#This Row],[data_fim_real]]="","",Tabela1[[#This Row],[data_fim_real]]-Tabela1[[#This Row],[data_inicio_real]])</f>
        <v/>
      </c>
    </row>
    <row r="915" spans="1:17" ht="16.5" x14ac:dyDescent="0.5">
      <c r="A915" t="s">
        <v>2098</v>
      </c>
      <c r="B915" t="s">
        <v>2099</v>
      </c>
      <c r="C915" t="s">
        <v>381</v>
      </c>
      <c r="D915" t="s">
        <v>38</v>
      </c>
      <c r="E915" t="s">
        <v>43</v>
      </c>
      <c r="F915" s="1">
        <v>46307</v>
      </c>
      <c r="G915" s="1">
        <v>46330</v>
      </c>
      <c r="H915" s="1"/>
      <c r="I915" s="1"/>
      <c r="J915" s="2">
        <v>130591.34</v>
      </c>
      <c r="K915" s="2">
        <v>0</v>
      </c>
      <c r="L915" s="2">
        <v>42188.99</v>
      </c>
      <c r="M915">
        <v>1336</v>
      </c>
      <c r="N915">
        <v>0</v>
      </c>
      <c r="O915" t="s">
        <v>26</v>
      </c>
      <c r="P915" s="2">
        <f>Tabela1[[#This Row],[orcamento_aprovado]]-Tabela1[[#This Row],[custo_real_acumulado]]</f>
        <v>130591.34</v>
      </c>
      <c r="Q915" t="str">
        <f>IF(Tabela1[[#This Row],[data_fim_real]]="","",Tabela1[[#This Row],[data_fim_real]]-Tabela1[[#This Row],[data_inicio_real]])</f>
        <v/>
      </c>
    </row>
    <row r="916" spans="1:17" ht="16.5" x14ac:dyDescent="0.5">
      <c r="A916" t="s">
        <v>2100</v>
      </c>
      <c r="B916" t="s">
        <v>2101</v>
      </c>
      <c r="C916" t="s">
        <v>395</v>
      </c>
      <c r="D916" t="s">
        <v>25</v>
      </c>
      <c r="E916" t="s">
        <v>43</v>
      </c>
      <c r="F916" s="1">
        <v>46163</v>
      </c>
      <c r="G916" s="1">
        <v>46180</v>
      </c>
      <c r="H916" s="1">
        <v>46157</v>
      </c>
      <c r="I916" s="1">
        <v>46178</v>
      </c>
      <c r="J916" s="2">
        <v>240345.79</v>
      </c>
      <c r="K916" s="2">
        <v>204680.91</v>
      </c>
      <c r="L916" s="2">
        <v>255517.82</v>
      </c>
      <c r="M916">
        <v>513</v>
      </c>
      <c r="N916">
        <v>558</v>
      </c>
      <c r="O916" t="s">
        <v>34</v>
      </c>
      <c r="P916" s="2">
        <f>Tabela1[[#This Row],[orcamento_aprovado]]-Tabela1[[#This Row],[custo_real_acumulado]]</f>
        <v>35664.880000000005</v>
      </c>
      <c r="Q916">
        <f>IF(Tabela1[[#This Row],[data_fim_real]]="","",Tabela1[[#This Row],[data_fim_real]]-Tabela1[[#This Row],[data_inicio_real]])</f>
        <v>21</v>
      </c>
    </row>
    <row r="917" spans="1:17" ht="16.5" x14ac:dyDescent="0.5">
      <c r="A917" t="s">
        <v>2102</v>
      </c>
      <c r="B917" t="s">
        <v>2103</v>
      </c>
      <c r="C917" t="s">
        <v>1681</v>
      </c>
      <c r="D917" t="s">
        <v>50</v>
      </c>
      <c r="E917" t="s">
        <v>43</v>
      </c>
      <c r="F917" s="1">
        <v>46305</v>
      </c>
      <c r="G917" s="1">
        <v>46364</v>
      </c>
      <c r="H917" s="1">
        <v>46313</v>
      </c>
      <c r="I917" s="1"/>
      <c r="J917" s="2">
        <v>175511.89</v>
      </c>
      <c r="K917" s="2">
        <v>54367.7</v>
      </c>
      <c r="L917" s="2">
        <v>271264.26</v>
      </c>
      <c r="M917">
        <v>2906</v>
      </c>
      <c r="N917">
        <v>1290</v>
      </c>
      <c r="O917" t="s">
        <v>21</v>
      </c>
      <c r="P917" s="2">
        <f>Tabela1[[#This Row],[orcamento_aprovado]]-Tabela1[[#This Row],[custo_real_acumulado]]</f>
        <v>121144.19000000002</v>
      </c>
      <c r="Q917" t="str">
        <f>IF(Tabela1[[#This Row],[data_fim_real]]="","",Tabela1[[#This Row],[data_fim_real]]-Tabela1[[#This Row],[data_inicio_real]])</f>
        <v/>
      </c>
    </row>
    <row r="918" spans="1:17" ht="16.5" x14ac:dyDescent="0.5">
      <c r="A918" t="s">
        <v>2104</v>
      </c>
      <c r="B918" t="s">
        <v>2105</v>
      </c>
      <c r="C918" t="s">
        <v>211</v>
      </c>
      <c r="D918" t="s">
        <v>78</v>
      </c>
      <c r="E918" t="s">
        <v>43</v>
      </c>
      <c r="F918" s="1">
        <v>46320</v>
      </c>
      <c r="G918" s="1">
        <v>46334</v>
      </c>
      <c r="H918" s="1">
        <v>46313</v>
      </c>
      <c r="I918" s="1">
        <v>46336</v>
      </c>
      <c r="J918" s="2">
        <v>303936.75</v>
      </c>
      <c r="K918" s="2">
        <v>341557.93</v>
      </c>
      <c r="L918" s="2">
        <v>450852.34</v>
      </c>
      <c r="M918">
        <v>461</v>
      </c>
      <c r="N918">
        <v>421</v>
      </c>
      <c r="O918" t="s">
        <v>26</v>
      </c>
      <c r="P918" s="2">
        <f>Tabela1[[#This Row],[orcamento_aprovado]]-Tabela1[[#This Row],[custo_real_acumulado]]</f>
        <v>-37621.179999999993</v>
      </c>
      <c r="Q918">
        <f>IF(Tabela1[[#This Row],[data_fim_real]]="","",Tabela1[[#This Row],[data_fim_real]]-Tabela1[[#This Row],[data_inicio_real]])</f>
        <v>23</v>
      </c>
    </row>
    <row r="919" spans="1:17" ht="16.5" x14ac:dyDescent="0.5">
      <c r="A919" t="s">
        <v>2106</v>
      </c>
      <c r="B919" t="s">
        <v>2107</v>
      </c>
      <c r="C919" t="s">
        <v>438</v>
      </c>
      <c r="D919" t="s">
        <v>18</v>
      </c>
      <c r="E919" t="s">
        <v>43</v>
      </c>
      <c r="F919" s="1">
        <v>46267</v>
      </c>
      <c r="G919" s="1">
        <v>46301</v>
      </c>
      <c r="H919" s="1">
        <v>46259</v>
      </c>
      <c r="I919" s="1"/>
      <c r="J919" s="2">
        <v>355853.85</v>
      </c>
      <c r="K919" s="2">
        <v>286864.90999999997</v>
      </c>
      <c r="L919" s="2">
        <v>574627.74</v>
      </c>
      <c r="M919">
        <v>428</v>
      </c>
      <c r="N919">
        <v>311</v>
      </c>
      <c r="O919" t="s">
        <v>34</v>
      </c>
      <c r="P919" s="2">
        <f>Tabela1[[#This Row],[orcamento_aprovado]]-Tabela1[[#This Row],[custo_real_acumulado]]</f>
        <v>68988.94</v>
      </c>
      <c r="Q919" t="str">
        <f>IF(Tabela1[[#This Row],[data_fim_real]]="","",Tabela1[[#This Row],[data_fim_real]]-Tabela1[[#This Row],[data_inicio_real]])</f>
        <v/>
      </c>
    </row>
    <row r="920" spans="1:17" ht="16.5" x14ac:dyDescent="0.5">
      <c r="A920" t="s">
        <v>2108</v>
      </c>
      <c r="B920" t="s">
        <v>2109</v>
      </c>
      <c r="C920" t="s">
        <v>727</v>
      </c>
      <c r="D920" t="s">
        <v>25</v>
      </c>
      <c r="E920" t="s">
        <v>20</v>
      </c>
      <c r="F920" s="1">
        <v>46087</v>
      </c>
      <c r="G920" s="1">
        <v>46165</v>
      </c>
      <c r="H920" s="1">
        <v>46097</v>
      </c>
      <c r="I920" s="1"/>
      <c r="J920" s="2">
        <v>113140.73</v>
      </c>
      <c r="K920" s="2">
        <v>51411.199999999997</v>
      </c>
      <c r="L920" s="2">
        <v>166158.16</v>
      </c>
      <c r="M920">
        <v>1004</v>
      </c>
      <c r="N920">
        <v>375</v>
      </c>
      <c r="O920" t="s">
        <v>21</v>
      </c>
      <c r="P920" s="2">
        <f>Tabela1[[#This Row],[orcamento_aprovado]]-Tabela1[[#This Row],[custo_real_acumulado]]</f>
        <v>61729.53</v>
      </c>
      <c r="Q920" t="str">
        <f>IF(Tabela1[[#This Row],[data_fim_real]]="","",Tabela1[[#This Row],[data_fim_real]]-Tabela1[[#This Row],[data_inicio_real]])</f>
        <v/>
      </c>
    </row>
    <row r="921" spans="1:17" ht="16.5" x14ac:dyDescent="0.5">
      <c r="A921" t="s">
        <v>2110</v>
      </c>
      <c r="B921" t="s">
        <v>2111</v>
      </c>
      <c r="C921" t="s">
        <v>145</v>
      </c>
      <c r="D921" t="s">
        <v>54</v>
      </c>
      <c r="E921" t="s">
        <v>43</v>
      </c>
      <c r="F921" s="1">
        <v>46215</v>
      </c>
      <c r="G921" s="1">
        <v>46275</v>
      </c>
      <c r="H921" s="1">
        <v>46198</v>
      </c>
      <c r="I921" s="1"/>
      <c r="J921" s="2">
        <v>50000</v>
      </c>
      <c r="K921" s="2">
        <v>19871.3</v>
      </c>
      <c r="L921" s="2">
        <v>37602.800000000003</v>
      </c>
      <c r="M921">
        <v>1077</v>
      </c>
      <c r="N921">
        <v>462</v>
      </c>
      <c r="O921" t="s">
        <v>26</v>
      </c>
      <c r="P921" s="2">
        <f>Tabela1[[#This Row],[orcamento_aprovado]]-Tabela1[[#This Row],[custo_real_acumulado]]</f>
        <v>30128.7</v>
      </c>
      <c r="Q921" t="str">
        <f>IF(Tabela1[[#This Row],[data_fim_real]]="","",Tabela1[[#This Row],[data_fim_real]]-Tabela1[[#This Row],[data_inicio_real]])</f>
        <v/>
      </c>
    </row>
    <row r="922" spans="1:17" ht="16.5" x14ac:dyDescent="0.5">
      <c r="A922" t="s">
        <v>2112</v>
      </c>
      <c r="B922" t="s">
        <v>2113</v>
      </c>
      <c r="C922" t="s">
        <v>327</v>
      </c>
      <c r="D922" t="s">
        <v>38</v>
      </c>
      <c r="E922" t="s">
        <v>43</v>
      </c>
      <c r="F922" s="1">
        <v>46253</v>
      </c>
      <c r="G922" s="1">
        <v>46283</v>
      </c>
      <c r="H922" s="1">
        <v>46257</v>
      </c>
      <c r="I922" s="1"/>
      <c r="J922" s="2">
        <v>244302.32</v>
      </c>
      <c r="K922" s="2">
        <v>89819.68</v>
      </c>
      <c r="L922" s="2">
        <v>369677.68</v>
      </c>
      <c r="M922">
        <v>894</v>
      </c>
      <c r="N922">
        <v>341</v>
      </c>
      <c r="O922" t="s">
        <v>34</v>
      </c>
      <c r="P922" s="2">
        <f>Tabela1[[#This Row],[orcamento_aprovado]]-Tabela1[[#This Row],[custo_real_acumulado]]</f>
        <v>154482.64000000001</v>
      </c>
      <c r="Q922" t="str">
        <f>IF(Tabela1[[#This Row],[data_fim_real]]="","",Tabela1[[#This Row],[data_fim_real]]-Tabela1[[#This Row],[data_inicio_real]])</f>
        <v/>
      </c>
    </row>
    <row r="923" spans="1:17" ht="16.5" x14ac:dyDescent="0.5">
      <c r="A923" t="s">
        <v>2114</v>
      </c>
      <c r="B923" t="s">
        <v>2115</v>
      </c>
      <c r="C923" t="s">
        <v>1658</v>
      </c>
      <c r="D923" t="s">
        <v>38</v>
      </c>
      <c r="E923" t="s">
        <v>19</v>
      </c>
      <c r="F923" s="1">
        <v>46171</v>
      </c>
      <c r="G923" s="1">
        <v>46253</v>
      </c>
      <c r="H923" s="1">
        <v>46171</v>
      </c>
      <c r="I923" s="1"/>
      <c r="J923" s="2">
        <v>103730.89</v>
      </c>
      <c r="K923" s="2">
        <v>67038.98</v>
      </c>
      <c r="L923" s="2">
        <v>72819.710000000006</v>
      </c>
      <c r="M923">
        <v>1311</v>
      </c>
      <c r="N923">
        <v>804</v>
      </c>
      <c r="O923" t="s">
        <v>21</v>
      </c>
      <c r="P923" s="2">
        <f>Tabela1[[#This Row],[orcamento_aprovado]]-Tabela1[[#This Row],[custo_real_acumulado]]</f>
        <v>36691.910000000003</v>
      </c>
      <c r="Q923" t="str">
        <f>IF(Tabela1[[#This Row],[data_fim_real]]="","",Tabela1[[#This Row],[data_fim_real]]-Tabela1[[#This Row],[data_inicio_real]])</f>
        <v/>
      </c>
    </row>
    <row r="924" spans="1:17" ht="16.5" x14ac:dyDescent="0.5">
      <c r="A924" t="s">
        <v>2116</v>
      </c>
      <c r="B924" t="s">
        <v>2117</v>
      </c>
      <c r="C924" t="s">
        <v>2064</v>
      </c>
      <c r="D924" t="s">
        <v>54</v>
      </c>
      <c r="E924" t="s">
        <v>43</v>
      </c>
      <c r="F924" s="1">
        <v>46378</v>
      </c>
      <c r="G924" s="1">
        <v>46387</v>
      </c>
      <c r="H924" s="1">
        <v>46387</v>
      </c>
      <c r="I924" s="1"/>
      <c r="J924" s="2">
        <v>69795.13</v>
      </c>
      <c r="K924" s="2">
        <v>34537.800000000003</v>
      </c>
      <c r="L924" s="2">
        <v>134485.70000000001</v>
      </c>
      <c r="M924">
        <v>606</v>
      </c>
      <c r="N924">
        <v>366</v>
      </c>
      <c r="O924" t="s">
        <v>26</v>
      </c>
      <c r="P924" s="2">
        <f>Tabela1[[#This Row],[orcamento_aprovado]]-Tabela1[[#This Row],[custo_real_acumulado]]</f>
        <v>35257.33</v>
      </c>
      <c r="Q924" t="str">
        <f>IF(Tabela1[[#This Row],[data_fim_real]]="","",Tabela1[[#This Row],[data_fim_real]]-Tabela1[[#This Row],[data_inicio_real]])</f>
        <v/>
      </c>
    </row>
    <row r="925" spans="1:17" ht="16.5" x14ac:dyDescent="0.5">
      <c r="A925" t="s">
        <v>2118</v>
      </c>
      <c r="B925" t="s">
        <v>2119</v>
      </c>
      <c r="C925" t="s">
        <v>642</v>
      </c>
      <c r="D925" t="s">
        <v>18</v>
      </c>
      <c r="E925" t="s">
        <v>42</v>
      </c>
      <c r="F925" s="1">
        <v>46287</v>
      </c>
      <c r="G925" s="1">
        <v>46387</v>
      </c>
      <c r="H925" s="1">
        <v>46283</v>
      </c>
      <c r="I925" s="1">
        <v>46387</v>
      </c>
      <c r="J925" s="2">
        <v>152462.15</v>
      </c>
      <c r="K925" s="2">
        <v>157961.38</v>
      </c>
      <c r="L925" s="2">
        <v>70798.48</v>
      </c>
      <c r="M925">
        <v>2463</v>
      </c>
      <c r="N925">
        <v>2099</v>
      </c>
      <c r="O925" t="s">
        <v>34</v>
      </c>
      <c r="P925" s="2">
        <f>Tabela1[[#This Row],[orcamento_aprovado]]-Tabela1[[#This Row],[custo_real_acumulado]]</f>
        <v>-5499.2300000000105</v>
      </c>
      <c r="Q925">
        <f>IF(Tabela1[[#This Row],[data_fim_real]]="","",Tabela1[[#This Row],[data_fim_real]]-Tabela1[[#This Row],[data_inicio_real]])</f>
        <v>104</v>
      </c>
    </row>
    <row r="926" spans="1:17" ht="16.5" x14ac:dyDescent="0.5">
      <c r="A926" t="s">
        <v>2120</v>
      </c>
      <c r="B926" t="s">
        <v>2121</v>
      </c>
      <c r="C926" t="s">
        <v>182</v>
      </c>
      <c r="D926" t="s">
        <v>54</v>
      </c>
      <c r="E926" t="s">
        <v>19</v>
      </c>
      <c r="F926" s="1">
        <v>46029</v>
      </c>
      <c r="G926" s="1">
        <v>46126</v>
      </c>
      <c r="H926" s="1">
        <v>46041</v>
      </c>
      <c r="I926" s="1"/>
      <c r="J926" s="2">
        <v>1041525.51</v>
      </c>
      <c r="K926" s="2">
        <v>820350.01</v>
      </c>
      <c r="L926" s="2">
        <v>2115719.2999999998</v>
      </c>
      <c r="M926">
        <v>3958</v>
      </c>
      <c r="N926">
        <v>2886</v>
      </c>
      <c r="O926" t="s">
        <v>21</v>
      </c>
      <c r="P926" s="2">
        <f>Tabela1[[#This Row],[orcamento_aprovado]]-Tabela1[[#This Row],[custo_real_acumulado]]</f>
        <v>221175.5</v>
      </c>
      <c r="Q926" t="str">
        <f>IF(Tabela1[[#This Row],[data_fim_real]]="","",Tabela1[[#This Row],[data_fim_real]]-Tabela1[[#This Row],[data_inicio_real]])</f>
        <v/>
      </c>
    </row>
    <row r="927" spans="1:17" ht="16.5" x14ac:dyDescent="0.5">
      <c r="A927" t="s">
        <v>2122</v>
      </c>
      <c r="B927" t="s">
        <v>2123</v>
      </c>
      <c r="C927" t="s">
        <v>2124</v>
      </c>
      <c r="D927" t="s">
        <v>142</v>
      </c>
      <c r="E927" t="s">
        <v>43</v>
      </c>
      <c r="F927" s="1">
        <v>46139</v>
      </c>
      <c r="G927" s="1">
        <v>46244</v>
      </c>
      <c r="H927" s="1">
        <v>46150</v>
      </c>
      <c r="I927" s="1"/>
      <c r="J927" s="2">
        <v>296505.73</v>
      </c>
      <c r="K927" s="2">
        <v>135005.79999999999</v>
      </c>
      <c r="L927" s="2">
        <v>365639.96</v>
      </c>
      <c r="M927">
        <v>2759</v>
      </c>
      <c r="N927">
        <v>2174</v>
      </c>
      <c r="O927" t="s">
        <v>26</v>
      </c>
      <c r="P927" s="2">
        <f>Tabela1[[#This Row],[orcamento_aprovado]]-Tabela1[[#This Row],[custo_real_acumulado]]</f>
        <v>161499.93</v>
      </c>
      <c r="Q927" t="str">
        <f>IF(Tabela1[[#This Row],[data_fim_real]]="","",Tabela1[[#This Row],[data_fim_real]]-Tabela1[[#This Row],[data_inicio_real]])</f>
        <v/>
      </c>
    </row>
    <row r="928" spans="1:17" ht="16.5" x14ac:dyDescent="0.5">
      <c r="A928" t="s">
        <v>2125</v>
      </c>
      <c r="B928" t="s">
        <v>2126</v>
      </c>
      <c r="C928" t="s">
        <v>1005</v>
      </c>
      <c r="D928" t="s">
        <v>78</v>
      </c>
      <c r="E928" t="s">
        <v>20</v>
      </c>
      <c r="F928" s="1">
        <v>46152</v>
      </c>
      <c r="G928" s="1">
        <v>46174</v>
      </c>
      <c r="H928" s="1">
        <v>46156</v>
      </c>
      <c r="I928" s="1"/>
      <c r="J928" s="2">
        <v>163349.39000000001</v>
      </c>
      <c r="K928" s="2">
        <v>38512.67</v>
      </c>
      <c r="L928" s="2">
        <v>148888.44</v>
      </c>
      <c r="M928">
        <v>257</v>
      </c>
      <c r="N928">
        <v>88</v>
      </c>
      <c r="O928" t="s">
        <v>34</v>
      </c>
      <c r="P928" s="2">
        <f>Tabela1[[#This Row],[orcamento_aprovado]]-Tabela1[[#This Row],[custo_real_acumulado]]</f>
        <v>124836.72000000002</v>
      </c>
      <c r="Q928" t="str">
        <f>IF(Tabela1[[#This Row],[data_fim_real]]="","",Tabela1[[#This Row],[data_fim_real]]-Tabela1[[#This Row],[data_inicio_real]])</f>
        <v/>
      </c>
    </row>
    <row r="929" spans="1:17" ht="16.5" x14ac:dyDescent="0.5">
      <c r="A929" t="s">
        <v>2127</v>
      </c>
      <c r="B929" t="s">
        <v>2128</v>
      </c>
      <c r="C929" t="s">
        <v>1658</v>
      </c>
      <c r="D929" t="s">
        <v>54</v>
      </c>
      <c r="E929" t="s">
        <v>19</v>
      </c>
      <c r="F929" s="1">
        <v>46252</v>
      </c>
      <c r="G929" s="1">
        <v>46349</v>
      </c>
      <c r="H929" s="1">
        <v>46262</v>
      </c>
      <c r="I929" s="1"/>
      <c r="J929" s="2">
        <v>160401.60999999999</v>
      </c>
      <c r="K929" s="2">
        <v>76287.47</v>
      </c>
      <c r="L929" s="2">
        <v>81870.899999999994</v>
      </c>
      <c r="M929">
        <v>5384</v>
      </c>
      <c r="N929">
        <v>2922</v>
      </c>
      <c r="O929" t="s">
        <v>21</v>
      </c>
      <c r="P929" s="2">
        <f>Tabela1[[#This Row],[orcamento_aprovado]]-Tabela1[[#This Row],[custo_real_acumulado]]</f>
        <v>84114.139999999985</v>
      </c>
      <c r="Q929" t="str">
        <f>IF(Tabela1[[#This Row],[data_fim_real]]="","",Tabela1[[#This Row],[data_fim_real]]-Tabela1[[#This Row],[data_inicio_real]])</f>
        <v/>
      </c>
    </row>
    <row r="930" spans="1:17" ht="16.5" x14ac:dyDescent="0.5">
      <c r="A930" t="s">
        <v>2129</v>
      </c>
      <c r="B930" t="s">
        <v>2130</v>
      </c>
      <c r="C930" t="s">
        <v>171</v>
      </c>
      <c r="D930" t="s">
        <v>58</v>
      </c>
      <c r="E930" t="s">
        <v>19</v>
      </c>
      <c r="F930" s="1">
        <v>46029</v>
      </c>
      <c r="G930" s="1">
        <v>46091</v>
      </c>
      <c r="H930" s="1">
        <v>46026</v>
      </c>
      <c r="I930" s="1">
        <v>46079</v>
      </c>
      <c r="J930" s="2">
        <v>165256.14000000001</v>
      </c>
      <c r="K930" s="2">
        <v>163029.1</v>
      </c>
      <c r="L930" s="2">
        <v>353081.06</v>
      </c>
      <c r="M930">
        <v>1413</v>
      </c>
      <c r="N930">
        <v>1515</v>
      </c>
      <c r="O930" t="s">
        <v>26</v>
      </c>
      <c r="P930" s="2">
        <f>Tabela1[[#This Row],[orcamento_aprovado]]-Tabela1[[#This Row],[custo_real_acumulado]]</f>
        <v>2227.0400000000081</v>
      </c>
      <c r="Q930">
        <f>IF(Tabela1[[#This Row],[data_fim_real]]="","",Tabela1[[#This Row],[data_fim_real]]-Tabela1[[#This Row],[data_inicio_real]])</f>
        <v>53</v>
      </c>
    </row>
    <row r="931" spans="1:17" ht="16.5" x14ac:dyDescent="0.5">
      <c r="A931" t="s">
        <v>2131</v>
      </c>
      <c r="B931" t="s">
        <v>2132</v>
      </c>
      <c r="C931" t="s">
        <v>445</v>
      </c>
      <c r="D931" t="s">
        <v>58</v>
      </c>
      <c r="E931" t="s">
        <v>19</v>
      </c>
      <c r="F931" s="1">
        <v>46192</v>
      </c>
      <c r="G931" s="1">
        <v>46339</v>
      </c>
      <c r="H931" s="1">
        <v>46212</v>
      </c>
      <c r="I931" s="1"/>
      <c r="J931" s="2">
        <v>206899</v>
      </c>
      <c r="K931" s="2">
        <v>65618.92</v>
      </c>
      <c r="L931" s="2">
        <v>183487.11</v>
      </c>
      <c r="M931">
        <v>4336</v>
      </c>
      <c r="N931">
        <v>1516</v>
      </c>
      <c r="O931" t="s">
        <v>34</v>
      </c>
      <c r="P931" s="2">
        <f>Tabela1[[#This Row],[orcamento_aprovado]]-Tabela1[[#This Row],[custo_real_acumulado]]</f>
        <v>141280.08000000002</v>
      </c>
      <c r="Q931" t="str">
        <f>IF(Tabela1[[#This Row],[data_fim_real]]="","",Tabela1[[#This Row],[data_fim_real]]-Tabela1[[#This Row],[data_inicio_real]])</f>
        <v/>
      </c>
    </row>
    <row r="932" spans="1:17" ht="16.5" x14ac:dyDescent="0.5">
      <c r="A932" t="s">
        <v>2133</v>
      </c>
      <c r="B932" t="s">
        <v>2134</v>
      </c>
      <c r="C932" t="s">
        <v>386</v>
      </c>
      <c r="D932" t="s">
        <v>78</v>
      </c>
      <c r="E932" t="s">
        <v>19</v>
      </c>
      <c r="F932" s="1">
        <v>46366</v>
      </c>
      <c r="G932" s="1">
        <v>46380</v>
      </c>
      <c r="H932" s="1">
        <v>46365</v>
      </c>
      <c r="I932" s="1"/>
      <c r="J932" s="2">
        <v>122955.12</v>
      </c>
      <c r="K932" s="2">
        <v>115422.71</v>
      </c>
      <c r="L932" s="2">
        <v>136955.47</v>
      </c>
      <c r="M932">
        <v>234</v>
      </c>
      <c r="N932">
        <v>207</v>
      </c>
      <c r="O932" t="s">
        <v>21</v>
      </c>
      <c r="P932" s="2">
        <f>Tabela1[[#This Row],[orcamento_aprovado]]-Tabela1[[#This Row],[custo_real_acumulado]]</f>
        <v>7532.4099999999889</v>
      </c>
      <c r="Q932" t="str">
        <f>IF(Tabela1[[#This Row],[data_fim_real]]="","",Tabela1[[#This Row],[data_fim_real]]-Tabela1[[#This Row],[data_inicio_real]])</f>
        <v/>
      </c>
    </row>
    <row r="933" spans="1:17" ht="16.5" x14ac:dyDescent="0.5">
      <c r="A933" t="s">
        <v>2135</v>
      </c>
      <c r="B933" t="s">
        <v>2136</v>
      </c>
      <c r="C933" t="s">
        <v>337</v>
      </c>
      <c r="D933" t="s">
        <v>71</v>
      </c>
      <c r="E933" t="s">
        <v>20</v>
      </c>
      <c r="F933" s="1">
        <v>46187</v>
      </c>
      <c r="G933" s="1">
        <v>46253</v>
      </c>
      <c r="H933" s="1">
        <v>46206</v>
      </c>
      <c r="I933" s="1"/>
      <c r="J933" s="2">
        <v>86692.19</v>
      </c>
      <c r="K933" s="2">
        <v>40846.720000000001</v>
      </c>
      <c r="L933" s="2">
        <v>159302.72</v>
      </c>
      <c r="M933">
        <v>2784</v>
      </c>
      <c r="N933">
        <v>1580</v>
      </c>
      <c r="O933" t="s">
        <v>26</v>
      </c>
      <c r="P933" s="2">
        <f>Tabela1[[#This Row],[orcamento_aprovado]]-Tabela1[[#This Row],[custo_real_acumulado]]</f>
        <v>45845.47</v>
      </c>
      <c r="Q933" t="str">
        <f>IF(Tabela1[[#This Row],[data_fim_real]]="","",Tabela1[[#This Row],[data_fim_real]]-Tabela1[[#This Row],[data_inicio_real]])</f>
        <v/>
      </c>
    </row>
    <row r="934" spans="1:17" ht="16.5" x14ac:dyDescent="0.5">
      <c r="A934" t="s">
        <v>2137</v>
      </c>
      <c r="B934" t="s">
        <v>2138</v>
      </c>
      <c r="C934" t="s">
        <v>112</v>
      </c>
      <c r="D934" t="s">
        <v>25</v>
      </c>
      <c r="E934" t="s">
        <v>42</v>
      </c>
      <c r="F934" s="1">
        <v>46054</v>
      </c>
      <c r="G934" s="1">
        <v>46136</v>
      </c>
      <c r="H934" s="1">
        <v>46056</v>
      </c>
      <c r="I934" s="1"/>
      <c r="J934" s="2">
        <v>50000</v>
      </c>
      <c r="K934" s="2">
        <v>11023.9</v>
      </c>
      <c r="L934" s="2">
        <v>50975.61</v>
      </c>
      <c r="M934">
        <v>2496</v>
      </c>
      <c r="N934">
        <v>831</v>
      </c>
      <c r="O934" t="s">
        <v>34</v>
      </c>
      <c r="P934" s="2">
        <f>Tabela1[[#This Row],[orcamento_aprovado]]-Tabela1[[#This Row],[custo_real_acumulado]]</f>
        <v>38976.1</v>
      </c>
      <c r="Q934" t="str">
        <f>IF(Tabela1[[#This Row],[data_fim_real]]="","",Tabela1[[#This Row],[data_fim_real]]-Tabela1[[#This Row],[data_inicio_real]])</f>
        <v/>
      </c>
    </row>
    <row r="935" spans="1:17" ht="16.5" x14ac:dyDescent="0.5">
      <c r="A935" t="s">
        <v>2139</v>
      </c>
      <c r="B935" t="s">
        <v>2140</v>
      </c>
      <c r="C935" t="s">
        <v>1047</v>
      </c>
      <c r="D935" t="s">
        <v>142</v>
      </c>
      <c r="E935" t="s">
        <v>19</v>
      </c>
      <c r="F935" s="1">
        <v>46152</v>
      </c>
      <c r="G935" s="1">
        <v>46245</v>
      </c>
      <c r="H935" s="1">
        <v>46151</v>
      </c>
      <c r="I935" s="1"/>
      <c r="J935" s="2">
        <v>50000</v>
      </c>
      <c r="K935" s="2">
        <v>41341.49</v>
      </c>
      <c r="L935" s="2">
        <v>92902.64</v>
      </c>
      <c r="M935">
        <v>1692</v>
      </c>
      <c r="N935">
        <v>1234</v>
      </c>
      <c r="O935" t="s">
        <v>21</v>
      </c>
      <c r="P935" s="2">
        <f>Tabela1[[#This Row],[orcamento_aprovado]]-Tabela1[[#This Row],[custo_real_acumulado]]</f>
        <v>8658.510000000002</v>
      </c>
      <c r="Q935" t="str">
        <f>IF(Tabela1[[#This Row],[data_fim_real]]="","",Tabela1[[#This Row],[data_fim_real]]-Tabela1[[#This Row],[data_inicio_real]])</f>
        <v/>
      </c>
    </row>
    <row r="936" spans="1:17" ht="16.5" x14ac:dyDescent="0.5">
      <c r="A936" t="s">
        <v>2141</v>
      </c>
      <c r="B936" t="s">
        <v>2142</v>
      </c>
      <c r="C936" t="s">
        <v>1918</v>
      </c>
      <c r="D936" t="s">
        <v>18</v>
      </c>
      <c r="E936" t="s">
        <v>20</v>
      </c>
      <c r="F936" s="1">
        <v>46111</v>
      </c>
      <c r="G936" s="1">
        <v>46156</v>
      </c>
      <c r="H936" s="1">
        <v>46114</v>
      </c>
      <c r="I936" s="1"/>
      <c r="J936" s="2">
        <v>50000</v>
      </c>
      <c r="K936" s="2">
        <v>35132.730000000003</v>
      </c>
      <c r="L936" s="2">
        <v>74078.899999999994</v>
      </c>
      <c r="M936">
        <v>987</v>
      </c>
      <c r="N936">
        <v>567</v>
      </c>
      <c r="O936" t="s">
        <v>26</v>
      </c>
      <c r="P936" s="2">
        <f>Tabela1[[#This Row],[orcamento_aprovado]]-Tabela1[[#This Row],[custo_real_acumulado]]</f>
        <v>14867.269999999997</v>
      </c>
      <c r="Q936" t="str">
        <f>IF(Tabela1[[#This Row],[data_fim_real]]="","",Tabela1[[#This Row],[data_fim_real]]-Tabela1[[#This Row],[data_inicio_real]])</f>
        <v/>
      </c>
    </row>
    <row r="937" spans="1:17" ht="16.5" x14ac:dyDescent="0.5">
      <c r="A937" t="s">
        <v>2143</v>
      </c>
      <c r="B937" t="s">
        <v>2144</v>
      </c>
      <c r="C937" t="s">
        <v>138</v>
      </c>
      <c r="D937" t="s">
        <v>54</v>
      </c>
      <c r="E937" t="s">
        <v>20</v>
      </c>
      <c r="F937" s="1">
        <v>46259</v>
      </c>
      <c r="G937" s="1">
        <v>46314</v>
      </c>
      <c r="H937" s="1"/>
      <c r="I937" s="1"/>
      <c r="J937" s="2">
        <v>91299.76</v>
      </c>
      <c r="K937" s="2">
        <v>0</v>
      </c>
      <c r="L937" s="2">
        <v>122743.41</v>
      </c>
      <c r="M937">
        <v>1284</v>
      </c>
      <c r="N937">
        <v>0</v>
      </c>
      <c r="O937" t="s">
        <v>34</v>
      </c>
      <c r="P937" s="2">
        <f>Tabela1[[#This Row],[orcamento_aprovado]]-Tabela1[[#This Row],[custo_real_acumulado]]</f>
        <v>91299.76</v>
      </c>
      <c r="Q937" t="str">
        <f>IF(Tabela1[[#This Row],[data_fim_real]]="","",Tabela1[[#This Row],[data_fim_real]]-Tabela1[[#This Row],[data_inicio_real]])</f>
        <v/>
      </c>
    </row>
    <row r="938" spans="1:17" ht="16.5" x14ac:dyDescent="0.5">
      <c r="A938" t="s">
        <v>2145</v>
      </c>
      <c r="B938" t="s">
        <v>2146</v>
      </c>
      <c r="C938" t="s">
        <v>642</v>
      </c>
      <c r="D938" t="s">
        <v>18</v>
      </c>
      <c r="E938" t="s">
        <v>20</v>
      </c>
      <c r="F938" s="1">
        <v>46143</v>
      </c>
      <c r="G938" s="1">
        <v>46171</v>
      </c>
      <c r="H938" s="1"/>
      <c r="I938" s="1"/>
      <c r="J938" s="2">
        <v>66108.88</v>
      </c>
      <c r="K938" s="2">
        <v>0</v>
      </c>
      <c r="L938" s="2">
        <v>118345.47</v>
      </c>
      <c r="M938">
        <v>493</v>
      </c>
      <c r="N938">
        <v>0</v>
      </c>
      <c r="O938" t="s">
        <v>21</v>
      </c>
      <c r="P938" s="2">
        <f>Tabela1[[#This Row],[orcamento_aprovado]]-Tabela1[[#This Row],[custo_real_acumulado]]</f>
        <v>66108.88</v>
      </c>
      <c r="Q938" t="str">
        <f>IF(Tabela1[[#This Row],[data_fim_real]]="","",Tabela1[[#This Row],[data_fim_real]]-Tabela1[[#This Row],[data_inicio_real]])</f>
        <v/>
      </c>
    </row>
    <row r="939" spans="1:17" ht="16.5" x14ac:dyDescent="0.5">
      <c r="A939" t="s">
        <v>2147</v>
      </c>
      <c r="B939" t="s">
        <v>2148</v>
      </c>
      <c r="C939" t="s">
        <v>839</v>
      </c>
      <c r="D939" t="s">
        <v>54</v>
      </c>
      <c r="E939" t="s">
        <v>43</v>
      </c>
      <c r="F939" s="1">
        <v>46073</v>
      </c>
      <c r="G939" s="1">
        <v>46087</v>
      </c>
      <c r="H939" s="1">
        <v>46062</v>
      </c>
      <c r="I939" s="1">
        <v>46074</v>
      </c>
      <c r="J939" s="2">
        <v>74621.45</v>
      </c>
      <c r="K939" s="2">
        <v>33807.699999999997</v>
      </c>
      <c r="L939" s="2">
        <v>113263.83</v>
      </c>
      <c r="M939">
        <v>293</v>
      </c>
      <c r="N939">
        <v>130</v>
      </c>
      <c r="O939" t="s">
        <v>26</v>
      </c>
      <c r="P939" s="2">
        <f>Tabela1[[#This Row],[orcamento_aprovado]]-Tabela1[[#This Row],[custo_real_acumulado]]</f>
        <v>40813.75</v>
      </c>
      <c r="Q939">
        <f>IF(Tabela1[[#This Row],[data_fim_real]]="","",Tabela1[[#This Row],[data_fim_real]]-Tabela1[[#This Row],[data_inicio_real]])</f>
        <v>12</v>
      </c>
    </row>
    <row r="940" spans="1:17" ht="16.5" x14ac:dyDescent="0.5">
      <c r="A940" t="s">
        <v>2149</v>
      </c>
      <c r="B940" t="s">
        <v>2150</v>
      </c>
      <c r="C940" t="s">
        <v>381</v>
      </c>
      <c r="D940" t="s">
        <v>142</v>
      </c>
      <c r="E940" t="s">
        <v>43</v>
      </c>
      <c r="F940" s="1">
        <v>46070</v>
      </c>
      <c r="G940" s="1">
        <v>46091</v>
      </c>
      <c r="H940" s="1">
        <v>46061</v>
      </c>
      <c r="I940" s="1"/>
      <c r="J940" s="2">
        <v>76381.850000000006</v>
      </c>
      <c r="K940" s="2">
        <v>62973.120000000003</v>
      </c>
      <c r="L940" s="2">
        <v>42684.68</v>
      </c>
      <c r="M940">
        <v>334</v>
      </c>
      <c r="N940">
        <v>298</v>
      </c>
      <c r="O940" t="s">
        <v>34</v>
      </c>
      <c r="P940" s="2">
        <f>Tabela1[[#This Row],[orcamento_aprovado]]-Tabela1[[#This Row],[custo_real_acumulado]]</f>
        <v>13408.730000000003</v>
      </c>
      <c r="Q940" t="str">
        <f>IF(Tabela1[[#This Row],[data_fim_real]]="","",Tabela1[[#This Row],[data_fim_real]]-Tabela1[[#This Row],[data_inicio_real]])</f>
        <v/>
      </c>
    </row>
    <row r="941" spans="1:17" ht="16.5" x14ac:dyDescent="0.5">
      <c r="A941" t="s">
        <v>2151</v>
      </c>
      <c r="B941" t="s">
        <v>2152</v>
      </c>
      <c r="C941" t="s">
        <v>1064</v>
      </c>
      <c r="D941" t="s">
        <v>38</v>
      </c>
      <c r="E941" t="s">
        <v>19</v>
      </c>
      <c r="F941" s="1">
        <v>46310</v>
      </c>
      <c r="G941" s="1">
        <v>46376</v>
      </c>
      <c r="H941" s="1">
        <v>46315</v>
      </c>
      <c r="I941" s="1"/>
      <c r="J941" s="2">
        <v>124949.06</v>
      </c>
      <c r="K941" s="2">
        <v>78436.62</v>
      </c>
      <c r="L941" s="2">
        <v>190831.57</v>
      </c>
      <c r="M941">
        <v>977</v>
      </c>
      <c r="N941">
        <v>556</v>
      </c>
      <c r="O941" t="s">
        <v>21</v>
      </c>
      <c r="P941" s="2">
        <f>Tabela1[[#This Row],[orcamento_aprovado]]-Tabela1[[#This Row],[custo_real_acumulado]]</f>
        <v>46512.44</v>
      </c>
      <c r="Q941" t="str">
        <f>IF(Tabela1[[#This Row],[data_fim_real]]="","",Tabela1[[#This Row],[data_fim_real]]-Tabela1[[#This Row],[data_inicio_real]])</f>
        <v/>
      </c>
    </row>
    <row r="942" spans="1:17" ht="16.5" x14ac:dyDescent="0.5">
      <c r="A942" t="s">
        <v>2153</v>
      </c>
      <c r="B942" t="s">
        <v>2154</v>
      </c>
      <c r="C942" t="s">
        <v>803</v>
      </c>
      <c r="D942" t="s">
        <v>142</v>
      </c>
      <c r="E942" t="s">
        <v>43</v>
      </c>
      <c r="F942" s="1">
        <v>46083</v>
      </c>
      <c r="G942" s="1">
        <v>46151</v>
      </c>
      <c r="H942" s="1">
        <v>46081</v>
      </c>
      <c r="I942" s="1"/>
      <c r="J942" s="2">
        <v>97391.44</v>
      </c>
      <c r="K942" s="2">
        <v>17774.64</v>
      </c>
      <c r="L942" s="2">
        <v>112789.97</v>
      </c>
      <c r="M942">
        <v>1159</v>
      </c>
      <c r="N942">
        <v>181</v>
      </c>
      <c r="O942" t="s">
        <v>26</v>
      </c>
      <c r="P942" s="2">
        <f>Tabela1[[#This Row],[orcamento_aprovado]]-Tabela1[[#This Row],[custo_real_acumulado]]</f>
        <v>79616.800000000003</v>
      </c>
      <c r="Q942" t="str">
        <f>IF(Tabela1[[#This Row],[data_fim_real]]="","",Tabela1[[#This Row],[data_fim_real]]-Tabela1[[#This Row],[data_inicio_real]])</f>
        <v/>
      </c>
    </row>
    <row r="943" spans="1:17" ht="16.5" x14ac:dyDescent="0.5">
      <c r="A943" t="s">
        <v>2155</v>
      </c>
      <c r="B943" t="s">
        <v>2156</v>
      </c>
      <c r="C943" t="s">
        <v>1148</v>
      </c>
      <c r="D943" t="s">
        <v>71</v>
      </c>
      <c r="E943" t="s">
        <v>20</v>
      </c>
      <c r="F943" s="1">
        <v>46243</v>
      </c>
      <c r="G943" s="1">
        <v>46332</v>
      </c>
      <c r="H943" s="1">
        <v>46261</v>
      </c>
      <c r="I943" s="1"/>
      <c r="J943" s="2">
        <v>322162.42</v>
      </c>
      <c r="K943" s="2">
        <v>270627.96999999997</v>
      </c>
      <c r="L943" s="2">
        <v>136358.44</v>
      </c>
      <c r="M943">
        <v>1812</v>
      </c>
      <c r="N943">
        <v>1373</v>
      </c>
      <c r="O943" t="s">
        <v>34</v>
      </c>
      <c r="P943" s="2">
        <f>Tabela1[[#This Row],[orcamento_aprovado]]-Tabela1[[#This Row],[custo_real_acumulado]]</f>
        <v>51534.450000000012</v>
      </c>
      <c r="Q943" t="str">
        <f>IF(Tabela1[[#This Row],[data_fim_real]]="","",Tabela1[[#This Row],[data_fim_real]]-Tabela1[[#This Row],[data_inicio_real]])</f>
        <v/>
      </c>
    </row>
    <row r="944" spans="1:17" ht="16.5" x14ac:dyDescent="0.5">
      <c r="A944" t="s">
        <v>2157</v>
      </c>
      <c r="B944" t="s">
        <v>2158</v>
      </c>
      <c r="C944" t="s">
        <v>376</v>
      </c>
      <c r="D944" t="s">
        <v>142</v>
      </c>
      <c r="E944" t="s">
        <v>42</v>
      </c>
      <c r="F944" s="1">
        <v>46284</v>
      </c>
      <c r="G944" s="1">
        <v>46344</v>
      </c>
      <c r="H944" s="1">
        <v>46284</v>
      </c>
      <c r="I944" s="1"/>
      <c r="J944" s="2">
        <v>50000</v>
      </c>
      <c r="K944" s="2">
        <v>15984.15</v>
      </c>
      <c r="L944" s="2">
        <v>68725.53</v>
      </c>
      <c r="M944">
        <v>1536</v>
      </c>
      <c r="N944">
        <v>702</v>
      </c>
      <c r="O944" t="s">
        <v>21</v>
      </c>
      <c r="P944" s="2">
        <f>Tabela1[[#This Row],[orcamento_aprovado]]-Tabela1[[#This Row],[custo_real_acumulado]]</f>
        <v>34015.85</v>
      </c>
      <c r="Q944" t="str">
        <f>IF(Tabela1[[#This Row],[data_fim_real]]="","",Tabela1[[#This Row],[data_fim_real]]-Tabela1[[#This Row],[data_inicio_real]])</f>
        <v/>
      </c>
    </row>
    <row r="945" spans="1:17" ht="16.5" x14ac:dyDescent="0.5">
      <c r="A945" t="s">
        <v>2159</v>
      </c>
      <c r="B945" t="s">
        <v>2160</v>
      </c>
      <c r="C945" t="s">
        <v>578</v>
      </c>
      <c r="D945" t="s">
        <v>18</v>
      </c>
      <c r="E945" t="s">
        <v>43</v>
      </c>
      <c r="F945" s="1">
        <v>46159</v>
      </c>
      <c r="G945" s="1">
        <v>46229</v>
      </c>
      <c r="H945" s="1">
        <v>46157</v>
      </c>
      <c r="I945" s="1"/>
      <c r="J945" s="2">
        <v>50000</v>
      </c>
      <c r="K945" s="2">
        <v>33445.53</v>
      </c>
      <c r="L945" s="2">
        <v>100895.55</v>
      </c>
      <c r="M945">
        <v>1349</v>
      </c>
      <c r="N945">
        <v>967</v>
      </c>
      <c r="O945" t="s">
        <v>26</v>
      </c>
      <c r="P945" s="2">
        <f>Tabela1[[#This Row],[orcamento_aprovado]]-Tabela1[[#This Row],[custo_real_acumulado]]</f>
        <v>16554.47</v>
      </c>
      <c r="Q945" t="str">
        <f>IF(Tabela1[[#This Row],[data_fim_real]]="","",Tabela1[[#This Row],[data_fim_real]]-Tabela1[[#This Row],[data_inicio_real]])</f>
        <v/>
      </c>
    </row>
    <row r="946" spans="1:17" ht="16.5" x14ac:dyDescent="0.5">
      <c r="A946" t="s">
        <v>2161</v>
      </c>
      <c r="B946" t="s">
        <v>2162</v>
      </c>
      <c r="C946" t="s">
        <v>288</v>
      </c>
      <c r="D946" t="s">
        <v>50</v>
      </c>
      <c r="E946" t="s">
        <v>19</v>
      </c>
      <c r="F946" s="1">
        <v>46245</v>
      </c>
      <c r="G946" s="1">
        <v>46304</v>
      </c>
      <c r="H946" s="1">
        <v>46233</v>
      </c>
      <c r="I946" s="1">
        <v>46310</v>
      </c>
      <c r="J946" s="2">
        <v>52874.49</v>
      </c>
      <c r="K946" s="2">
        <v>61860.85</v>
      </c>
      <c r="L946" s="2">
        <v>108822.22</v>
      </c>
      <c r="M946">
        <v>1830</v>
      </c>
      <c r="N946">
        <v>2128</v>
      </c>
      <c r="O946" t="s">
        <v>34</v>
      </c>
      <c r="P946" s="2">
        <f>Tabela1[[#This Row],[orcamento_aprovado]]-Tabela1[[#This Row],[custo_real_acumulado]]</f>
        <v>-8986.36</v>
      </c>
      <c r="Q946">
        <f>IF(Tabela1[[#This Row],[data_fim_real]]="","",Tabela1[[#This Row],[data_fim_real]]-Tabela1[[#This Row],[data_inicio_real]])</f>
        <v>77</v>
      </c>
    </row>
    <row r="947" spans="1:17" ht="16.5" x14ac:dyDescent="0.5">
      <c r="A947" t="s">
        <v>2163</v>
      </c>
      <c r="B947" t="s">
        <v>2164</v>
      </c>
      <c r="C947" t="s">
        <v>627</v>
      </c>
      <c r="D947" t="s">
        <v>38</v>
      </c>
      <c r="E947" t="s">
        <v>42</v>
      </c>
      <c r="F947" s="1">
        <v>46110</v>
      </c>
      <c r="G947" s="1">
        <v>46258</v>
      </c>
      <c r="H947" s="1">
        <v>46113</v>
      </c>
      <c r="I947" s="1"/>
      <c r="J947" s="2">
        <v>50000</v>
      </c>
      <c r="K947" s="2">
        <v>23575.69</v>
      </c>
      <c r="L947" s="2">
        <v>80322.48</v>
      </c>
      <c r="M947">
        <v>5246</v>
      </c>
      <c r="N947">
        <v>2227</v>
      </c>
      <c r="O947" t="s">
        <v>21</v>
      </c>
      <c r="P947" s="2">
        <f>Tabela1[[#This Row],[orcamento_aprovado]]-Tabela1[[#This Row],[custo_real_acumulado]]</f>
        <v>26424.31</v>
      </c>
      <c r="Q947" t="str">
        <f>IF(Tabela1[[#This Row],[data_fim_real]]="","",Tabela1[[#This Row],[data_fim_real]]-Tabela1[[#This Row],[data_inicio_real]])</f>
        <v/>
      </c>
    </row>
    <row r="948" spans="1:17" ht="16.5" x14ac:dyDescent="0.5">
      <c r="A948" t="s">
        <v>2165</v>
      </c>
      <c r="B948" t="s">
        <v>2166</v>
      </c>
      <c r="C948" t="s">
        <v>41</v>
      </c>
      <c r="D948" t="s">
        <v>71</v>
      </c>
      <c r="E948" t="s">
        <v>20</v>
      </c>
      <c r="F948" s="1">
        <v>46237</v>
      </c>
      <c r="G948" s="1">
        <v>46292</v>
      </c>
      <c r="H948" s="1">
        <v>46233</v>
      </c>
      <c r="I948" s="1"/>
      <c r="J948" s="2">
        <v>173264.5</v>
      </c>
      <c r="K948" s="2">
        <v>24019.35</v>
      </c>
      <c r="L948" s="2">
        <v>158987.14000000001</v>
      </c>
      <c r="M948">
        <v>1750</v>
      </c>
      <c r="N948">
        <v>240</v>
      </c>
      <c r="O948" t="s">
        <v>26</v>
      </c>
      <c r="P948" s="2">
        <f>Tabela1[[#This Row],[orcamento_aprovado]]-Tabela1[[#This Row],[custo_real_acumulado]]</f>
        <v>149245.15</v>
      </c>
      <c r="Q948" t="str">
        <f>IF(Tabela1[[#This Row],[data_fim_real]]="","",Tabela1[[#This Row],[data_fim_real]]-Tabela1[[#This Row],[data_inicio_real]])</f>
        <v/>
      </c>
    </row>
    <row r="949" spans="1:17" ht="16.5" x14ac:dyDescent="0.5">
      <c r="A949" t="s">
        <v>2167</v>
      </c>
      <c r="B949" t="s">
        <v>2168</v>
      </c>
      <c r="C949" t="s">
        <v>352</v>
      </c>
      <c r="D949" t="s">
        <v>142</v>
      </c>
      <c r="E949" t="s">
        <v>19</v>
      </c>
      <c r="F949" s="1">
        <v>46184</v>
      </c>
      <c r="G949" s="1">
        <v>46249</v>
      </c>
      <c r="H949" s="1">
        <v>46181</v>
      </c>
      <c r="I949" s="1"/>
      <c r="J949" s="2">
        <v>82205.09</v>
      </c>
      <c r="K949" s="2">
        <v>35054.6</v>
      </c>
      <c r="L949" s="2">
        <v>65711.77</v>
      </c>
      <c r="M949">
        <v>1587</v>
      </c>
      <c r="N949">
        <v>541</v>
      </c>
      <c r="O949" t="s">
        <v>34</v>
      </c>
      <c r="P949" s="2">
        <f>Tabela1[[#This Row],[orcamento_aprovado]]-Tabela1[[#This Row],[custo_real_acumulado]]</f>
        <v>47150.49</v>
      </c>
      <c r="Q949" t="str">
        <f>IF(Tabela1[[#This Row],[data_fim_real]]="","",Tabela1[[#This Row],[data_fim_real]]-Tabela1[[#This Row],[data_inicio_real]])</f>
        <v/>
      </c>
    </row>
    <row r="950" spans="1:17" ht="16.5" x14ac:dyDescent="0.5">
      <c r="A950" t="s">
        <v>2169</v>
      </c>
      <c r="B950" t="s">
        <v>2170</v>
      </c>
      <c r="C950" t="s">
        <v>1681</v>
      </c>
      <c r="D950" t="s">
        <v>18</v>
      </c>
      <c r="E950" t="s">
        <v>43</v>
      </c>
      <c r="F950" s="1">
        <v>46357</v>
      </c>
      <c r="G950" s="1">
        <v>46387</v>
      </c>
      <c r="H950" s="1"/>
      <c r="I950" s="1"/>
      <c r="J950" s="2">
        <v>92038.03</v>
      </c>
      <c r="K950" s="2">
        <v>0</v>
      </c>
      <c r="L950" s="2">
        <v>32078.94</v>
      </c>
      <c r="M950">
        <v>770</v>
      </c>
      <c r="N950">
        <v>0</v>
      </c>
      <c r="O950" t="s">
        <v>21</v>
      </c>
      <c r="P950" s="2">
        <f>Tabela1[[#This Row],[orcamento_aprovado]]-Tabela1[[#This Row],[custo_real_acumulado]]</f>
        <v>92038.03</v>
      </c>
      <c r="Q950" t="str">
        <f>IF(Tabela1[[#This Row],[data_fim_real]]="","",Tabela1[[#This Row],[data_fim_real]]-Tabela1[[#This Row],[data_inicio_real]])</f>
        <v/>
      </c>
    </row>
    <row r="951" spans="1:17" ht="16.5" x14ac:dyDescent="0.5">
      <c r="A951" t="s">
        <v>2171</v>
      </c>
      <c r="B951" t="s">
        <v>2172</v>
      </c>
      <c r="C951" t="s">
        <v>141</v>
      </c>
      <c r="D951" t="s">
        <v>25</v>
      </c>
      <c r="E951" t="s">
        <v>19</v>
      </c>
      <c r="F951" s="1">
        <v>46264</v>
      </c>
      <c r="G951" s="1">
        <v>46314</v>
      </c>
      <c r="H951" s="1">
        <v>46251</v>
      </c>
      <c r="I951" s="1"/>
      <c r="J951" s="2">
        <v>50000</v>
      </c>
      <c r="K951" s="2">
        <v>20505.77</v>
      </c>
      <c r="L951" s="2">
        <v>37564.69</v>
      </c>
      <c r="M951">
        <v>986</v>
      </c>
      <c r="N951">
        <v>468</v>
      </c>
      <c r="O951" t="s">
        <v>26</v>
      </c>
      <c r="P951" s="2">
        <f>Tabela1[[#This Row],[orcamento_aprovado]]-Tabela1[[#This Row],[custo_real_acumulado]]</f>
        <v>29494.23</v>
      </c>
      <c r="Q951" t="str">
        <f>IF(Tabela1[[#This Row],[data_fim_real]]="","",Tabela1[[#This Row],[data_fim_real]]-Tabela1[[#This Row],[data_inicio_real]])</f>
        <v/>
      </c>
    </row>
    <row r="952" spans="1:17" ht="16.5" x14ac:dyDescent="0.5">
      <c r="A952" t="s">
        <v>2173</v>
      </c>
      <c r="B952" t="s">
        <v>2174</v>
      </c>
      <c r="C952" t="s">
        <v>902</v>
      </c>
      <c r="D952" t="s">
        <v>58</v>
      </c>
      <c r="E952" t="s">
        <v>20</v>
      </c>
      <c r="F952" s="1">
        <v>46335</v>
      </c>
      <c r="G952" s="1">
        <v>46387</v>
      </c>
      <c r="H952" s="1">
        <v>46365</v>
      </c>
      <c r="I952" s="1"/>
      <c r="J952" s="2">
        <v>105766.37</v>
      </c>
      <c r="K952" s="2">
        <v>29611.279999999999</v>
      </c>
      <c r="L952" s="2">
        <v>85044.85</v>
      </c>
      <c r="M952">
        <v>2947</v>
      </c>
      <c r="N952">
        <v>567</v>
      </c>
      <c r="O952" t="s">
        <v>34</v>
      </c>
      <c r="P952" s="2">
        <f>Tabela1[[#This Row],[orcamento_aprovado]]-Tabela1[[#This Row],[custo_real_acumulado]]</f>
        <v>76155.09</v>
      </c>
      <c r="Q952" t="str">
        <f>IF(Tabela1[[#This Row],[data_fim_real]]="","",Tabela1[[#This Row],[data_fim_real]]-Tabela1[[#This Row],[data_inicio_real]])</f>
        <v/>
      </c>
    </row>
    <row r="953" spans="1:17" ht="16.5" x14ac:dyDescent="0.5">
      <c r="A953" t="s">
        <v>2175</v>
      </c>
      <c r="B953" t="s">
        <v>2176</v>
      </c>
      <c r="C953" t="s">
        <v>902</v>
      </c>
      <c r="D953" t="s">
        <v>54</v>
      </c>
      <c r="E953" t="s">
        <v>43</v>
      </c>
      <c r="F953" s="1">
        <v>46042</v>
      </c>
      <c r="G953" s="1">
        <v>46089</v>
      </c>
      <c r="H953" s="1">
        <v>46045</v>
      </c>
      <c r="I953" s="1"/>
      <c r="J953" s="2">
        <v>184781.33</v>
      </c>
      <c r="K953" s="2">
        <v>139859.93</v>
      </c>
      <c r="L953" s="2">
        <v>117793.97</v>
      </c>
      <c r="M953">
        <v>1533</v>
      </c>
      <c r="N953">
        <v>1044</v>
      </c>
      <c r="O953" t="s">
        <v>21</v>
      </c>
      <c r="P953" s="2">
        <f>Tabela1[[#This Row],[orcamento_aprovado]]-Tabela1[[#This Row],[custo_real_acumulado]]</f>
        <v>44921.399999999994</v>
      </c>
      <c r="Q953" t="str">
        <f>IF(Tabela1[[#This Row],[data_fim_real]]="","",Tabela1[[#This Row],[data_fim_real]]-Tabela1[[#This Row],[data_inicio_real]])</f>
        <v/>
      </c>
    </row>
    <row r="954" spans="1:17" ht="16.5" x14ac:dyDescent="0.5">
      <c r="A954" t="s">
        <v>2177</v>
      </c>
      <c r="B954" t="s">
        <v>2178</v>
      </c>
      <c r="C954" t="s">
        <v>748</v>
      </c>
      <c r="D954" t="s">
        <v>58</v>
      </c>
      <c r="E954" t="s">
        <v>42</v>
      </c>
      <c r="F954" s="1">
        <v>46093</v>
      </c>
      <c r="G954" s="1">
        <v>46195</v>
      </c>
      <c r="H954" s="1">
        <v>46098</v>
      </c>
      <c r="I954" s="1"/>
      <c r="J954" s="2">
        <v>50000</v>
      </c>
      <c r="K954" s="2">
        <v>57470.71</v>
      </c>
      <c r="L954" s="2">
        <v>104089.82</v>
      </c>
      <c r="M954">
        <v>2051</v>
      </c>
      <c r="N954">
        <v>1526</v>
      </c>
      <c r="O954" t="s">
        <v>26</v>
      </c>
      <c r="P954" s="2">
        <f>Tabela1[[#This Row],[orcamento_aprovado]]-Tabela1[[#This Row],[custo_real_acumulado]]</f>
        <v>-7470.7099999999991</v>
      </c>
      <c r="Q954" t="str">
        <f>IF(Tabela1[[#This Row],[data_fim_real]]="","",Tabela1[[#This Row],[data_fim_real]]-Tabela1[[#This Row],[data_inicio_real]])</f>
        <v/>
      </c>
    </row>
    <row r="955" spans="1:17" ht="16.5" x14ac:dyDescent="0.5">
      <c r="A955" t="s">
        <v>2179</v>
      </c>
      <c r="B955" t="s">
        <v>2180</v>
      </c>
      <c r="C955" t="s">
        <v>1113</v>
      </c>
      <c r="D955" t="s">
        <v>18</v>
      </c>
      <c r="E955" t="s">
        <v>42</v>
      </c>
      <c r="F955" s="1">
        <v>46327</v>
      </c>
      <c r="G955" s="1">
        <v>46387</v>
      </c>
      <c r="H955" s="1">
        <v>46326</v>
      </c>
      <c r="I955" s="1"/>
      <c r="J955" s="2">
        <v>55691.89</v>
      </c>
      <c r="K955" s="2">
        <v>28894.15</v>
      </c>
      <c r="L955" s="2">
        <v>21433.25</v>
      </c>
      <c r="M955">
        <v>1927</v>
      </c>
      <c r="N955">
        <v>797</v>
      </c>
      <c r="O955" t="s">
        <v>34</v>
      </c>
      <c r="P955" s="2">
        <f>Tabela1[[#This Row],[orcamento_aprovado]]-Tabela1[[#This Row],[custo_real_acumulado]]</f>
        <v>26797.739999999998</v>
      </c>
      <c r="Q955" t="str">
        <f>IF(Tabela1[[#This Row],[data_fim_real]]="","",Tabela1[[#This Row],[data_fim_real]]-Tabela1[[#This Row],[data_inicio_real]])</f>
        <v/>
      </c>
    </row>
    <row r="956" spans="1:17" ht="16.5" x14ac:dyDescent="0.5">
      <c r="A956" t="s">
        <v>2181</v>
      </c>
      <c r="B956" t="s">
        <v>2182</v>
      </c>
      <c r="C956" t="s">
        <v>276</v>
      </c>
      <c r="D956" t="s">
        <v>58</v>
      </c>
      <c r="E956" t="s">
        <v>42</v>
      </c>
      <c r="F956" s="1">
        <v>46071</v>
      </c>
      <c r="G956" s="1">
        <v>46163</v>
      </c>
      <c r="H956" s="1">
        <v>46087</v>
      </c>
      <c r="I956" s="1"/>
      <c r="J956" s="2">
        <v>451128.28</v>
      </c>
      <c r="K956" s="2">
        <v>248654.81</v>
      </c>
      <c r="L956" s="2">
        <v>885938.71</v>
      </c>
      <c r="M956">
        <v>2683</v>
      </c>
      <c r="N956">
        <v>1447</v>
      </c>
      <c r="O956" t="s">
        <v>21</v>
      </c>
      <c r="P956" s="2">
        <f>Tabela1[[#This Row],[orcamento_aprovado]]-Tabela1[[#This Row],[custo_real_acumulado]]</f>
        <v>202473.47000000003</v>
      </c>
      <c r="Q956" t="str">
        <f>IF(Tabela1[[#This Row],[data_fim_real]]="","",Tabela1[[#This Row],[data_fim_real]]-Tabela1[[#This Row],[data_inicio_real]])</f>
        <v/>
      </c>
    </row>
    <row r="957" spans="1:17" ht="16.5" x14ac:dyDescent="0.5">
      <c r="A957" t="s">
        <v>2183</v>
      </c>
      <c r="B957" t="s">
        <v>2184</v>
      </c>
      <c r="C957" t="s">
        <v>949</v>
      </c>
      <c r="D957" t="s">
        <v>25</v>
      </c>
      <c r="E957" t="s">
        <v>42</v>
      </c>
      <c r="F957" s="1">
        <v>46065</v>
      </c>
      <c r="G957" s="1">
        <v>46196</v>
      </c>
      <c r="H957" s="1">
        <v>46051</v>
      </c>
      <c r="I957" s="1">
        <v>46216</v>
      </c>
      <c r="J957" s="2">
        <v>292877.05</v>
      </c>
      <c r="K957" s="2">
        <v>356981.95</v>
      </c>
      <c r="L957" s="2">
        <v>172282.75</v>
      </c>
      <c r="M957">
        <v>7238</v>
      </c>
      <c r="N957">
        <v>7996</v>
      </c>
      <c r="O957" t="s">
        <v>26</v>
      </c>
      <c r="P957" s="2">
        <f>Tabela1[[#This Row],[orcamento_aprovado]]-Tabela1[[#This Row],[custo_real_acumulado]]</f>
        <v>-64104.900000000023</v>
      </c>
      <c r="Q957">
        <f>IF(Tabela1[[#This Row],[data_fim_real]]="","",Tabela1[[#This Row],[data_fim_real]]-Tabela1[[#This Row],[data_inicio_real]])</f>
        <v>165</v>
      </c>
    </row>
    <row r="958" spans="1:17" ht="16.5" x14ac:dyDescent="0.5">
      <c r="A958" t="s">
        <v>2185</v>
      </c>
      <c r="B958" t="s">
        <v>2186</v>
      </c>
      <c r="C958" t="s">
        <v>309</v>
      </c>
      <c r="D958" t="s">
        <v>142</v>
      </c>
      <c r="E958" t="s">
        <v>43</v>
      </c>
      <c r="F958" s="1">
        <v>46358</v>
      </c>
      <c r="G958" s="1">
        <v>46387</v>
      </c>
      <c r="H958" s="1">
        <v>46357</v>
      </c>
      <c r="I958" s="1">
        <v>46387</v>
      </c>
      <c r="J958" s="2">
        <v>50000</v>
      </c>
      <c r="K958" s="2">
        <v>44928.85</v>
      </c>
      <c r="L958" s="2">
        <v>41745.83</v>
      </c>
      <c r="M958">
        <v>856</v>
      </c>
      <c r="N958">
        <v>1015</v>
      </c>
      <c r="O958" t="s">
        <v>34</v>
      </c>
      <c r="P958" s="2">
        <f>Tabela1[[#This Row],[orcamento_aprovado]]-Tabela1[[#This Row],[custo_real_acumulado]]</f>
        <v>5071.1500000000015</v>
      </c>
      <c r="Q958">
        <f>IF(Tabela1[[#This Row],[data_fim_real]]="","",Tabela1[[#This Row],[data_fim_real]]-Tabela1[[#This Row],[data_inicio_real]])</f>
        <v>30</v>
      </c>
    </row>
    <row r="959" spans="1:17" ht="16.5" x14ac:dyDescent="0.5">
      <c r="A959" t="s">
        <v>2187</v>
      </c>
      <c r="B959" t="s">
        <v>2188</v>
      </c>
      <c r="C959" t="s">
        <v>1123</v>
      </c>
      <c r="D959" t="s">
        <v>54</v>
      </c>
      <c r="E959" t="s">
        <v>43</v>
      </c>
      <c r="F959" s="1">
        <v>46368</v>
      </c>
      <c r="G959" s="1">
        <v>46387</v>
      </c>
      <c r="H959" s="1">
        <v>46366</v>
      </c>
      <c r="I959" s="1"/>
      <c r="J959" s="2">
        <v>106800.87</v>
      </c>
      <c r="K959" s="2">
        <v>35479.519999999997</v>
      </c>
      <c r="L959" s="2">
        <v>233079.83</v>
      </c>
      <c r="M959">
        <v>570</v>
      </c>
      <c r="N959">
        <v>215</v>
      </c>
      <c r="O959" t="s">
        <v>21</v>
      </c>
      <c r="P959" s="2">
        <f>Tabela1[[#This Row],[orcamento_aprovado]]-Tabela1[[#This Row],[custo_real_acumulado]]</f>
        <v>71321.350000000006</v>
      </c>
      <c r="Q959" t="str">
        <f>IF(Tabela1[[#This Row],[data_fim_real]]="","",Tabela1[[#This Row],[data_fim_real]]-Tabela1[[#This Row],[data_inicio_real]])</f>
        <v/>
      </c>
    </row>
    <row r="960" spans="1:17" ht="16.5" x14ac:dyDescent="0.5">
      <c r="A960" t="s">
        <v>2189</v>
      </c>
      <c r="B960" t="s">
        <v>2190</v>
      </c>
      <c r="C960" t="s">
        <v>619</v>
      </c>
      <c r="D960" t="s">
        <v>25</v>
      </c>
      <c r="E960" t="s">
        <v>20</v>
      </c>
      <c r="F960" s="1">
        <v>46046</v>
      </c>
      <c r="G960" s="1">
        <v>46125</v>
      </c>
      <c r="H960" s="1">
        <v>46058</v>
      </c>
      <c r="I960" s="1">
        <v>46138</v>
      </c>
      <c r="J960" s="2">
        <v>98300.64</v>
      </c>
      <c r="K960" s="2">
        <v>98915.63</v>
      </c>
      <c r="L960" s="2">
        <v>117634.61</v>
      </c>
      <c r="M960">
        <v>1547</v>
      </c>
      <c r="N960">
        <v>1732</v>
      </c>
      <c r="O960" t="s">
        <v>26</v>
      </c>
      <c r="P960" s="2">
        <f>Tabela1[[#This Row],[orcamento_aprovado]]-Tabela1[[#This Row],[custo_real_acumulado]]</f>
        <v>-614.99000000000524</v>
      </c>
      <c r="Q960">
        <f>IF(Tabela1[[#This Row],[data_fim_real]]="","",Tabela1[[#This Row],[data_fim_real]]-Tabela1[[#This Row],[data_inicio_real]])</f>
        <v>80</v>
      </c>
    </row>
    <row r="961" spans="1:17" ht="16.5" x14ac:dyDescent="0.5">
      <c r="A961" t="s">
        <v>2191</v>
      </c>
      <c r="B961" t="s">
        <v>2192</v>
      </c>
      <c r="C961" t="s">
        <v>270</v>
      </c>
      <c r="D961" t="s">
        <v>33</v>
      </c>
      <c r="E961" t="s">
        <v>19</v>
      </c>
      <c r="F961" s="1">
        <v>46098</v>
      </c>
      <c r="G961" s="1">
        <v>46211</v>
      </c>
      <c r="H961" s="1">
        <v>46088</v>
      </c>
      <c r="I961" s="1"/>
      <c r="J961" s="2">
        <v>85204.46</v>
      </c>
      <c r="K961" s="2">
        <v>33844.97</v>
      </c>
      <c r="L961" s="2">
        <v>159947.70000000001</v>
      </c>
      <c r="M961">
        <v>4115</v>
      </c>
      <c r="N961">
        <v>1963</v>
      </c>
      <c r="O961" t="s">
        <v>34</v>
      </c>
      <c r="P961" s="2">
        <f>Tabela1[[#This Row],[orcamento_aprovado]]-Tabela1[[#This Row],[custo_real_acumulado]]</f>
        <v>51359.490000000005</v>
      </c>
      <c r="Q961" t="str">
        <f>IF(Tabela1[[#This Row],[data_fim_real]]="","",Tabela1[[#This Row],[data_fim_real]]-Tabela1[[#This Row],[data_inicio_real]])</f>
        <v/>
      </c>
    </row>
    <row r="962" spans="1:17" ht="16.5" x14ac:dyDescent="0.5">
      <c r="A962" t="s">
        <v>2193</v>
      </c>
      <c r="B962" t="s">
        <v>2194</v>
      </c>
      <c r="C962" t="s">
        <v>808</v>
      </c>
      <c r="D962" t="s">
        <v>50</v>
      </c>
      <c r="E962" t="s">
        <v>20</v>
      </c>
      <c r="F962" s="1">
        <v>46379</v>
      </c>
      <c r="G962" s="1">
        <v>46387</v>
      </c>
      <c r="H962" s="1">
        <v>46387</v>
      </c>
      <c r="I962" s="1"/>
      <c r="J962" s="2">
        <v>50000</v>
      </c>
      <c r="K962" s="2">
        <v>24893.02</v>
      </c>
      <c r="L962" s="2">
        <v>25678.45</v>
      </c>
      <c r="M962">
        <v>449</v>
      </c>
      <c r="N962">
        <v>233</v>
      </c>
      <c r="O962" t="s">
        <v>21</v>
      </c>
      <c r="P962" s="2">
        <f>Tabela1[[#This Row],[orcamento_aprovado]]-Tabela1[[#This Row],[custo_real_acumulado]]</f>
        <v>25106.98</v>
      </c>
      <c r="Q962" t="str">
        <f>IF(Tabela1[[#This Row],[data_fim_real]]="","",Tabela1[[#This Row],[data_fim_real]]-Tabela1[[#This Row],[data_inicio_real]])</f>
        <v/>
      </c>
    </row>
    <row r="963" spans="1:17" ht="16.5" x14ac:dyDescent="0.5">
      <c r="A963" t="s">
        <v>2195</v>
      </c>
      <c r="B963" t="s">
        <v>2196</v>
      </c>
      <c r="C963" t="s">
        <v>1328</v>
      </c>
      <c r="D963" t="s">
        <v>25</v>
      </c>
      <c r="E963" t="s">
        <v>19</v>
      </c>
      <c r="F963" s="1">
        <v>46103</v>
      </c>
      <c r="G963" s="1">
        <v>46212</v>
      </c>
      <c r="H963" s="1">
        <v>46106</v>
      </c>
      <c r="I963" s="1"/>
      <c r="J963" s="2">
        <v>50000</v>
      </c>
      <c r="K963" s="2">
        <v>35223.58</v>
      </c>
      <c r="L963" s="2">
        <v>43708.15</v>
      </c>
      <c r="M963">
        <v>6601</v>
      </c>
      <c r="N963">
        <v>4099</v>
      </c>
      <c r="O963" t="s">
        <v>26</v>
      </c>
      <c r="P963" s="2">
        <f>Tabela1[[#This Row],[orcamento_aprovado]]-Tabela1[[#This Row],[custo_real_acumulado]]</f>
        <v>14776.419999999998</v>
      </c>
      <c r="Q963" t="str">
        <f>IF(Tabela1[[#This Row],[data_fim_real]]="","",Tabela1[[#This Row],[data_fim_real]]-Tabela1[[#This Row],[data_inicio_real]])</f>
        <v/>
      </c>
    </row>
    <row r="964" spans="1:17" ht="16.5" x14ac:dyDescent="0.5">
      <c r="A964" t="s">
        <v>2197</v>
      </c>
      <c r="B964" t="s">
        <v>2198</v>
      </c>
      <c r="C964" t="s">
        <v>495</v>
      </c>
      <c r="D964" t="s">
        <v>38</v>
      </c>
      <c r="E964" t="s">
        <v>43</v>
      </c>
      <c r="F964" s="1">
        <v>46344</v>
      </c>
      <c r="G964" s="1">
        <v>46387</v>
      </c>
      <c r="H964" s="1">
        <v>46358</v>
      </c>
      <c r="I964" s="1"/>
      <c r="J964" s="2">
        <v>126166.48</v>
      </c>
      <c r="K964" s="2">
        <v>60830.92</v>
      </c>
      <c r="L964" s="2">
        <v>49922.78</v>
      </c>
      <c r="M964">
        <v>654</v>
      </c>
      <c r="N964">
        <v>358</v>
      </c>
      <c r="O964" t="s">
        <v>34</v>
      </c>
      <c r="P964" s="2">
        <f>Tabela1[[#This Row],[orcamento_aprovado]]-Tabela1[[#This Row],[custo_real_acumulado]]</f>
        <v>65335.56</v>
      </c>
      <c r="Q964" t="str">
        <f>IF(Tabela1[[#This Row],[data_fim_real]]="","",Tabela1[[#This Row],[data_fim_real]]-Tabela1[[#This Row],[data_inicio_real]])</f>
        <v/>
      </c>
    </row>
    <row r="965" spans="1:17" ht="16.5" x14ac:dyDescent="0.5">
      <c r="A965" t="s">
        <v>2199</v>
      </c>
      <c r="B965" t="s">
        <v>2200</v>
      </c>
      <c r="C965" t="s">
        <v>735</v>
      </c>
      <c r="D965" t="s">
        <v>142</v>
      </c>
      <c r="E965" t="s">
        <v>20</v>
      </c>
      <c r="F965" s="1">
        <v>46284</v>
      </c>
      <c r="G965" s="1">
        <v>46366</v>
      </c>
      <c r="H965" s="1">
        <v>46270</v>
      </c>
      <c r="I965" s="1">
        <v>46351</v>
      </c>
      <c r="J965" s="2">
        <v>138354.57999999999</v>
      </c>
      <c r="K965" s="2">
        <v>134880.88</v>
      </c>
      <c r="L965" s="2">
        <v>280600.14</v>
      </c>
      <c r="M965">
        <v>3596</v>
      </c>
      <c r="N965">
        <v>3650</v>
      </c>
      <c r="O965" t="s">
        <v>21</v>
      </c>
      <c r="P965" s="2">
        <f>Tabela1[[#This Row],[orcamento_aprovado]]-Tabela1[[#This Row],[custo_real_acumulado]]</f>
        <v>3473.6999999999825</v>
      </c>
      <c r="Q965">
        <f>IF(Tabela1[[#This Row],[data_fim_real]]="","",Tabela1[[#This Row],[data_fim_real]]-Tabela1[[#This Row],[data_inicio_real]])</f>
        <v>81</v>
      </c>
    </row>
    <row r="966" spans="1:17" ht="16.5" x14ac:dyDescent="0.5">
      <c r="A966" t="s">
        <v>2201</v>
      </c>
      <c r="B966" t="s">
        <v>2202</v>
      </c>
      <c r="C966" t="s">
        <v>949</v>
      </c>
      <c r="D966" t="s">
        <v>33</v>
      </c>
      <c r="E966" t="s">
        <v>43</v>
      </c>
      <c r="F966" s="1">
        <v>46188</v>
      </c>
      <c r="G966" s="1">
        <v>46284</v>
      </c>
      <c r="H966" s="1">
        <v>46188</v>
      </c>
      <c r="I966" s="1"/>
      <c r="J966" s="2">
        <v>278828.49</v>
      </c>
      <c r="K966" s="2">
        <v>168393.16</v>
      </c>
      <c r="L966" s="2">
        <v>203527.23</v>
      </c>
      <c r="M966">
        <v>2075</v>
      </c>
      <c r="N966">
        <v>907</v>
      </c>
      <c r="O966" t="s">
        <v>26</v>
      </c>
      <c r="P966" s="2">
        <f>Tabela1[[#This Row],[orcamento_aprovado]]-Tabela1[[#This Row],[custo_real_acumulado]]</f>
        <v>110435.32999999999</v>
      </c>
      <c r="Q966" t="str">
        <f>IF(Tabela1[[#This Row],[data_fim_real]]="","",Tabela1[[#This Row],[data_fim_real]]-Tabela1[[#This Row],[data_inicio_real]])</f>
        <v/>
      </c>
    </row>
    <row r="967" spans="1:17" ht="16.5" x14ac:dyDescent="0.5">
      <c r="A967" t="s">
        <v>2203</v>
      </c>
      <c r="B967" t="s">
        <v>2204</v>
      </c>
      <c r="C967" t="s">
        <v>252</v>
      </c>
      <c r="D967" t="s">
        <v>54</v>
      </c>
      <c r="E967" t="s">
        <v>19</v>
      </c>
      <c r="F967" s="1">
        <v>46062</v>
      </c>
      <c r="G967" s="1">
        <v>46181</v>
      </c>
      <c r="H967" s="1">
        <v>46042</v>
      </c>
      <c r="I967" s="1"/>
      <c r="J967" s="2">
        <v>245908.99</v>
      </c>
      <c r="K967" s="2">
        <v>115395.15</v>
      </c>
      <c r="L967" s="2">
        <v>531931.89</v>
      </c>
      <c r="M967">
        <v>2210</v>
      </c>
      <c r="N967">
        <v>1175</v>
      </c>
      <c r="O967" t="s">
        <v>34</v>
      </c>
      <c r="P967" s="2">
        <f>Tabela1[[#This Row],[orcamento_aprovado]]-Tabela1[[#This Row],[custo_real_acumulado]]</f>
        <v>130513.84</v>
      </c>
      <c r="Q967" t="str">
        <f>IF(Tabela1[[#This Row],[data_fim_real]]="","",Tabela1[[#This Row],[data_fim_real]]-Tabela1[[#This Row],[data_inicio_real]])</f>
        <v/>
      </c>
    </row>
    <row r="968" spans="1:17" ht="16.5" x14ac:dyDescent="0.5">
      <c r="A968" t="s">
        <v>2205</v>
      </c>
      <c r="B968" t="s">
        <v>2206</v>
      </c>
      <c r="C968" t="s">
        <v>148</v>
      </c>
      <c r="D968" t="s">
        <v>50</v>
      </c>
      <c r="E968" t="s">
        <v>20</v>
      </c>
      <c r="F968" s="1">
        <v>46334</v>
      </c>
      <c r="G968" s="1">
        <v>46387</v>
      </c>
      <c r="H968" s="1">
        <v>46353</v>
      </c>
      <c r="I968" s="1">
        <v>46387</v>
      </c>
      <c r="J968" s="2">
        <v>731308.19</v>
      </c>
      <c r="K968" s="2">
        <v>710180.28</v>
      </c>
      <c r="L968" s="2">
        <v>497790.21</v>
      </c>
      <c r="M968">
        <v>1118</v>
      </c>
      <c r="N968">
        <v>1079</v>
      </c>
      <c r="O968" t="s">
        <v>21</v>
      </c>
      <c r="P968" s="2">
        <f>Tabela1[[#This Row],[orcamento_aprovado]]-Tabela1[[#This Row],[custo_real_acumulado]]</f>
        <v>21127.909999999916</v>
      </c>
      <c r="Q968">
        <f>IF(Tabela1[[#This Row],[data_fim_real]]="","",Tabela1[[#This Row],[data_fim_real]]-Tabela1[[#This Row],[data_inicio_real]])</f>
        <v>34</v>
      </c>
    </row>
    <row r="969" spans="1:17" ht="16.5" x14ac:dyDescent="0.5">
      <c r="A969" t="s">
        <v>2207</v>
      </c>
      <c r="B969" t="s">
        <v>2208</v>
      </c>
      <c r="C969" t="s">
        <v>745</v>
      </c>
      <c r="D969" t="s">
        <v>18</v>
      </c>
      <c r="E969" t="s">
        <v>20</v>
      </c>
      <c r="F969" s="1">
        <v>46193</v>
      </c>
      <c r="G969" s="1">
        <v>46271</v>
      </c>
      <c r="H969" s="1">
        <v>46193</v>
      </c>
      <c r="I969" s="1"/>
      <c r="J969" s="2">
        <v>72350.02</v>
      </c>
      <c r="K969" s="2">
        <v>28558.43</v>
      </c>
      <c r="L969" s="2">
        <v>82078.570000000007</v>
      </c>
      <c r="M969">
        <v>2482</v>
      </c>
      <c r="N969">
        <v>1067</v>
      </c>
      <c r="O969" t="s">
        <v>26</v>
      </c>
      <c r="P969" s="2">
        <f>Tabela1[[#This Row],[orcamento_aprovado]]-Tabela1[[#This Row],[custo_real_acumulado]]</f>
        <v>43791.590000000004</v>
      </c>
      <c r="Q969" t="str">
        <f>IF(Tabela1[[#This Row],[data_fim_real]]="","",Tabela1[[#This Row],[data_fim_real]]-Tabela1[[#This Row],[data_inicio_real]])</f>
        <v/>
      </c>
    </row>
    <row r="970" spans="1:17" ht="16.5" x14ac:dyDescent="0.5">
      <c r="A970" t="s">
        <v>2209</v>
      </c>
      <c r="B970" t="s">
        <v>2210</v>
      </c>
      <c r="C970" t="s">
        <v>358</v>
      </c>
      <c r="D970" t="s">
        <v>142</v>
      </c>
      <c r="E970" t="s">
        <v>42</v>
      </c>
      <c r="F970" s="1">
        <v>46133</v>
      </c>
      <c r="G970" s="1">
        <v>46227</v>
      </c>
      <c r="H970" s="1">
        <v>46150</v>
      </c>
      <c r="I970" s="1"/>
      <c r="J970" s="2">
        <v>115258.88</v>
      </c>
      <c r="K970" s="2">
        <v>30296.68</v>
      </c>
      <c r="L970" s="2">
        <v>151088.94</v>
      </c>
      <c r="M970">
        <v>3292</v>
      </c>
      <c r="N970">
        <v>862</v>
      </c>
      <c r="O970" t="s">
        <v>34</v>
      </c>
      <c r="P970" s="2">
        <f>Tabela1[[#This Row],[orcamento_aprovado]]-Tabela1[[#This Row],[custo_real_acumulado]]</f>
        <v>84962.200000000012</v>
      </c>
      <c r="Q970" t="str">
        <f>IF(Tabela1[[#This Row],[data_fim_real]]="","",Tabela1[[#This Row],[data_fim_real]]-Tabela1[[#This Row],[data_inicio_real]])</f>
        <v/>
      </c>
    </row>
    <row r="971" spans="1:17" ht="16.5" x14ac:dyDescent="0.5">
      <c r="A971" t="s">
        <v>2211</v>
      </c>
      <c r="B971" t="s">
        <v>2212</v>
      </c>
      <c r="C971" t="s">
        <v>32</v>
      </c>
      <c r="D971" t="s">
        <v>142</v>
      </c>
      <c r="E971" t="s">
        <v>42</v>
      </c>
      <c r="F971" s="1">
        <v>46023</v>
      </c>
      <c r="G971" s="1">
        <v>46117</v>
      </c>
      <c r="H971" s="1">
        <v>46023</v>
      </c>
      <c r="I971" s="1"/>
      <c r="J971" s="2">
        <v>150664.43</v>
      </c>
      <c r="K971" s="2">
        <v>65410.1</v>
      </c>
      <c r="L971" s="2">
        <v>112827.96</v>
      </c>
      <c r="M971">
        <v>4418</v>
      </c>
      <c r="N971">
        <v>1905</v>
      </c>
      <c r="O971" t="s">
        <v>21</v>
      </c>
      <c r="P971" s="2">
        <f>Tabela1[[#This Row],[orcamento_aprovado]]-Tabela1[[#This Row],[custo_real_acumulado]]</f>
        <v>85254.329999999987</v>
      </c>
      <c r="Q971" t="str">
        <f>IF(Tabela1[[#This Row],[data_fim_real]]="","",Tabela1[[#This Row],[data_fim_real]]-Tabela1[[#This Row],[data_inicio_real]])</f>
        <v/>
      </c>
    </row>
    <row r="972" spans="1:17" ht="16.5" x14ac:dyDescent="0.5">
      <c r="A972" t="s">
        <v>2213</v>
      </c>
      <c r="B972" t="s">
        <v>2214</v>
      </c>
      <c r="C972" t="s">
        <v>2215</v>
      </c>
      <c r="D972" t="s">
        <v>78</v>
      </c>
      <c r="E972" t="s">
        <v>42</v>
      </c>
      <c r="F972" s="1">
        <v>46079</v>
      </c>
      <c r="G972" s="1">
        <v>46103</v>
      </c>
      <c r="H972" s="1">
        <v>46079</v>
      </c>
      <c r="I972" s="1"/>
      <c r="J972" s="2">
        <v>420567.79</v>
      </c>
      <c r="K972" s="2">
        <v>87235.81</v>
      </c>
      <c r="L972" s="2">
        <v>280964.64</v>
      </c>
      <c r="M972">
        <v>1256</v>
      </c>
      <c r="N972">
        <v>357</v>
      </c>
      <c r="O972" t="s">
        <v>26</v>
      </c>
      <c r="P972" s="2">
        <f>Tabela1[[#This Row],[orcamento_aprovado]]-Tabela1[[#This Row],[custo_real_acumulado]]</f>
        <v>333331.98</v>
      </c>
      <c r="Q972" t="str">
        <f>IF(Tabela1[[#This Row],[data_fim_real]]="","",Tabela1[[#This Row],[data_fim_real]]-Tabela1[[#This Row],[data_inicio_real]])</f>
        <v/>
      </c>
    </row>
    <row r="973" spans="1:17" ht="16.5" x14ac:dyDescent="0.5">
      <c r="A973" t="s">
        <v>2216</v>
      </c>
      <c r="B973" t="s">
        <v>2217</v>
      </c>
      <c r="C973" t="s">
        <v>956</v>
      </c>
      <c r="D973" t="s">
        <v>58</v>
      </c>
      <c r="E973" t="s">
        <v>20</v>
      </c>
      <c r="F973" s="1">
        <v>46075</v>
      </c>
      <c r="G973" s="1">
        <v>46158</v>
      </c>
      <c r="H973" s="1">
        <v>46080</v>
      </c>
      <c r="I973" s="1"/>
      <c r="J973" s="2">
        <v>56369.11</v>
      </c>
      <c r="K973" s="2">
        <v>28355.42</v>
      </c>
      <c r="L973" s="2">
        <v>117314.7</v>
      </c>
      <c r="M973">
        <v>3593</v>
      </c>
      <c r="N973">
        <v>1988</v>
      </c>
      <c r="O973" t="s">
        <v>34</v>
      </c>
      <c r="P973" s="2">
        <f>Tabela1[[#This Row],[orcamento_aprovado]]-Tabela1[[#This Row],[custo_real_acumulado]]</f>
        <v>28013.690000000002</v>
      </c>
      <c r="Q973" t="str">
        <f>IF(Tabela1[[#This Row],[data_fim_real]]="","",Tabela1[[#This Row],[data_fim_real]]-Tabela1[[#This Row],[data_inicio_real]])</f>
        <v/>
      </c>
    </row>
    <row r="974" spans="1:17" ht="16.5" x14ac:dyDescent="0.5">
      <c r="A974" t="s">
        <v>2218</v>
      </c>
      <c r="B974" t="s">
        <v>2107</v>
      </c>
      <c r="C974" t="s">
        <v>1361</v>
      </c>
      <c r="D974" t="s">
        <v>142</v>
      </c>
      <c r="E974" t="s">
        <v>43</v>
      </c>
      <c r="F974" s="1">
        <v>46258</v>
      </c>
      <c r="G974" s="1">
        <v>46354</v>
      </c>
      <c r="H974" s="1">
        <v>46266</v>
      </c>
      <c r="I974" s="1"/>
      <c r="J974" s="2">
        <v>203803.41</v>
      </c>
      <c r="K974" s="2">
        <v>11706.36</v>
      </c>
      <c r="L974" s="2">
        <v>263385.34000000003</v>
      </c>
      <c r="M974">
        <v>3662</v>
      </c>
      <c r="N974">
        <v>151</v>
      </c>
      <c r="O974" t="s">
        <v>21</v>
      </c>
      <c r="P974" s="2">
        <f>Tabela1[[#This Row],[orcamento_aprovado]]-Tabela1[[#This Row],[custo_real_acumulado]]</f>
        <v>192097.05</v>
      </c>
      <c r="Q974" t="str">
        <f>IF(Tabela1[[#This Row],[data_fim_real]]="","",Tabela1[[#This Row],[data_fim_real]]-Tabela1[[#This Row],[data_inicio_real]])</f>
        <v/>
      </c>
    </row>
    <row r="975" spans="1:17" ht="16.5" x14ac:dyDescent="0.5">
      <c r="A975" t="s">
        <v>2219</v>
      </c>
      <c r="B975" t="s">
        <v>2220</v>
      </c>
      <c r="C975" t="s">
        <v>157</v>
      </c>
      <c r="D975" t="s">
        <v>78</v>
      </c>
      <c r="E975" t="s">
        <v>19</v>
      </c>
      <c r="F975" s="1">
        <v>46294</v>
      </c>
      <c r="G975" s="1">
        <v>46387</v>
      </c>
      <c r="H975" s="1">
        <v>46279</v>
      </c>
      <c r="I975" s="1">
        <v>46387</v>
      </c>
      <c r="J975" s="2">
        <v>71095.63</v>
      </c>
      <c r="K975" s="2">
        <v>67839.100000000006</v>
      </c>
      <c r="L975" s="2">
        <v>137168.42000000001</v>
      </c>
      <c r="M975">
        <v>1059</v>
      </c>
      <c r="N975">
        <v>871</v>
      </c>
      <c r="O975" t="s">
        <v>26</v>
      </c>
      <c r="P975" s="2">
        <f>Tabela1[[#This Row],[orcamento_aprovado]]-Tabela1[[#This Row],[custo_real_acumulado]]</f>
        <v>3256.5299999999988</v>
      </c>
      <c r="Q975">
        <f>IF(Tabela1[[#This Row],[data_fim_real]]="","",Tabela1[[#This Row],[data_fim_real]]-Tabela1[[#This Row],[data_inicio_real]])</f>
        <v>108</v>
      </c>
    </row>
    <row r="976" spans="1:17" ht="16.5" x14ac:dyDescent="0.5">
      <c r="A976" t="s">
        <v>2221</v>
      </c>
      <c r="B976" t="s">
        <v>2222</v>
      </c>
      <c r="C976" t="s">
        <v>376</v>
      </c>
      <c r="D976" t="s">
        <v>18</v>
      </c>
      <c r="E976" t="s">
        <v>42</v>
      </c>
      <c r="F976" s="1">
        <v>46230</v>
      </c>
      <c r="G976" s="1">
        <v>46332</v>
      </c>
      <c r="H976" s="1"/>
      <c r="I976" s="1"/>
      <c r="J976" s="2">
        <v>322592.90999999997</v>
      </c>
      <c r="K976" s="2">
        <v>0</v>
      </c>
      <c r="L976" s="2">
        <v>354349.6</v>
      </c>
      <c r="M976">
        <v>8181</v>
      </c>
      <c r="N976">
        <v>0</v>
      </c>
      <c r="O976" t="s">
        <v>34</v>
      </c>
      <c r="P976" s="2">
        <f>Tabela1[[#This Row],[orcamento_aprovado]]-Tabela1[[#This Row],[custo_real_acumulado]]</f>
        <v>322592.90999999997</v>
      </c>
      <c r="Q976" t="str">
        <f>IF(Tabela1[[#This Row],[data_fim_real]]="","",Tabela1[[#This Row],[data_fim_real]]-Tabela1[[#This Row],[data_inicio_real]])</f>
        <v/>
      </c>
    </row>
    <row r="977" spans="1:17" ht="16.5" x14ac:dyDescent="0.5">
      <c r="A977" t="s">
        <v>2223</v>
      </c>
      <c r="B977" t="s">
        <v>2224</v>
      </c>
      <c r="C977" t="s">
        <v>211</v>
      </c>
      <c r="D977" t="s">
        <v>25</v>
      </c>
      <c r="E977" t="s">
        <v>43</v>
      </c>
      <c r="F977" s="1">
        <v>46358</v>
      </c>
      <c r="G977" s="1">
        <v>46372</v>
      </c>
      <c r="H977" s="1">
        <v>46362</v>
      </c>
      <c r="I977" s="1"/>
      <c r="J977" s="2">
        <v>397562.3</v>
      </c>
      <c r="K977" s="2">
        <v>152570.25</v>
      </c>
      <c r="L977" s="2">
        <v>150067.53</v>
      </c>
      <c r="M977">
        <v>209</v>
      </c>
      <c r="N977">
        <v>66</v>
      </c>
      <c r="O977" t="s">
        <v>21</v>
      </c>
      <c r="P977" s="2">
        <f>Tabela1[[#This Row],[orcamento_aprovado]]-Tabela1[[#This Row],[custo_real_acumulado]]</f>
        <v>244992.05</v>
      </c>
      <c r="Q977" t="str">
        <f>IF(Tabela1[[#This Row],[data_fim_real]]="","",Tabela1[[#This Row],[data_fim_real]]-Tabela1[[#This Row],[data_inicio_real]])</f>
        <v/>
      </c>
    </row>
    <row r="978" spans="1:17" ht="16.5" x14ac:dyDescent="0.5">
      <c r="A978" t="s">
        <v>2225</v>
      </c>
      <c r="B978" t="s">
        <v>2226</v>
      </c>
      <c r="C978" t="s">
        <v>1015</v>
      </c>
      <c r="D978" t="s">
        <v>78</v>
      </c>
      <c r="E978" t="s">
        <v>20</v>
      </c>
      <c r="F978" s="1">
        <v>46245</v>
      </c>
      <c r="G978" s="1">
        <v>46334</v>
      </c>
      <c r="H978" s="1">
        <v>46252</v>
      </c>
      <c r="I978" s="1">
        <v>46347</v>
      </c>
      <c r="J978" s="2">
        <v>289913.65000000002</v>
      </c>
      <c r="K978" s="2">
        <v>296337.28000000003</v>
      </c>
      <c r="L978" s="2">
        <v>336964.31</v>
      </c>
      <c r="M978">
        <v>2380</v>
      </c>
      <c r="N978">
        <v>2578</v>
      </c>
      <c r="O978" t="s">
        <v>26</v>
      </c>
      <c r="P978" s="2">
        <f>Tabela1[[#This Row],[orcamento_aprovado]]-Tabela1[[#This Row],[custo_real_acumulado]]</f>
        <v>-6423.6300000000047</v>
      </c>
      <c r="Q978">
        <f>IF(Tabela1[[#This Row],[data_fim_real]]="","",Tabela1[[#This Row],[data_fim_real]]-Tabela1[[#This Row],[data_inicio_real]])</f>
        <v>95</v>
      </c>
    </row>
    <row r="979" spans="1:17" ht="16.5" x14ac:dyDescent="0.5">
      <c r="A979" t="s">
        <v>2227</v>
      </c>
      <c r="B979" t="s">
        <v>2228</v>
      </c>
      <c r="C979" t="s">
        <v>151</v>
      </c>
      <c r="D979" t="s">
        <v>78</v>
      </c>
      <c r="E979" t="s">
        <v>20</v>
      </c>
      <c r="F979" s="1">
        <v>46275</v>
      </c>
      <c r="G979" s="1">
        <v>46373</v>
      </c>
      <c r="H979" s="1">
        <v>46281</v>
      </c>
      <c r="I979" s="1"/>
      <c r="J979" s="2">
        <v>138574.22</v>
      </c>
      <c r="K979" s="2">
        <v>130439.61</v>
      </c>
      <c r="L979" s="2">
        <v>132403.15</v>
      </c>
      <c r="M979">
        <v>1684</v>
      </c>
      <c r="N979">
        <v>1416</v>
      </c>
      <c r="O979" t="s">
        <v>34</v>
      </c>
      <c r="P979" s="2">
        <f>Tabela1[[#This Row],[orcamento_aprovado]]-Tabela1[[#This Row],[custo_real_acumulado]]</f>
        <v>8134.6100000000006</v>
      </c>
      <c r="Q979" t="str">
        <f>IF(Tabela1[[#This Row],[data_fim_real]]="","",Tabela1[[#This Row],[data_fim_real]]-Tabela1[[#This Row],[data_inicio_real]])</f>
        <v/>
      </c>
    </row>
    <row r="980" spans="1:17" ht="16.5" x14ac:dyDescent="0.5">
      <c r="A980" t="s">
        <v>2229</v>
      </c>
      <c r="B980" t="s">
        <v>2230</v>
      </c>
      <c r="C980" t="s">
        <v>1047</v>
      </c>
      <c r="D980" t="s">
        <v>38</v>
      </c>
      <c r="E980" t="s">
        <v>20</v>
      </c>
      <c r="F980" s="1">
        <v>46167</v>
      </c>
      <c r="G980" s="1">
        <v>46273</v>
      </c>
      <c r="H980" s="1">
        <v>46155</v>
      </c>
      <c r="I980" s="1">
        <v>46282</v>
      </c>
      <c r="J980" s="2">
        <v>199645.85</v>
      </c>
      <c r="K980" s="2">
        <v>190455.47</v>
      </c>
      <c r="L980" s="2">
        <v>173927.28</v>
      </c>
      <c r="M980">
        <v>945</v>
      </c>
      <c r="N980">
        <v>1018</v>
      </c>
      <c r="O980" t="s">
        <v>21</v>
      </c>
      <c r="P980" s="2">
        <f>Tabela1[[#This Row],[orcamento_aprovado]]-Tabela1[[#This Row],[custo_real_acumulado]]</f>
        <v>9190.3800000000047</v>
      </c>
      <c r="Q980">
        <f>IF(Tabela1[[#This Row],[data_fim_real]]="","",Tabela1[[#This Row],[data_fim_real]]-Tabela1[[#This Row],[data_inicio_real]])</f>
        <v>127</v>
      </c>
    </row>
    <row r="981" spans="1:17" ht="16.5" x14ac:dyDescent="0.5">
      <c r="A981" t="s">
        <v>2231</v>
      </c>
      <c r="B981" t="s">
        <v>2232</v>
      </c>
      <c r="C981" t="s">
        <v>296</v>
      </c>
      <c r="D981" t="s">
        <v>18</v>
      </c>
      <c r="E981" t="s">
        <v>19</v>
      </c>
      <c r="F981" s="1">
        <v>46037</v>
      </c>
      <c r="G981" s="1">
        <v>46090</v>
      </c>
      <c r="H981" s="1">
        <v>46042</v>
      </c>
      <c r="I981" s="1"/>
      <c r="J981" s="2">
        <v>84994.39</v>
      </c>
      <c r="K981" s="2">
        <v>64659.94</v>
      </c>
      <c r="L981" s="2">
        <v>28993.24</v>
      </c>
      <c r="M981">
        <v>1594</v>
      </c>
      <c r="N981">
        <v>885</v>
      </c>
      <c r="O981" t="s">
        <v>26</v>
      </c>
      <c r="P981" s="2">
        <f>Tabela1[[#This Row],[orcamento_aprovado]]-Tabela1[[#This Row],[custo_real_acumulado]]</f>
        <v>20334.449999999997</v>
      </c>
      <c r="Q981" t="str">
        <f>IF(Tabela1[[#This Row],[data_fim_real]]="","",Tabela1[[#This Row],[data_fim_real]]-Tabela1[[#This Row],[data_inicio_real]])</f>
        <v/>
      </c>
    </row>
    <row r="982" spans="1:17" ht="16.5" x14ac:dyDescent="0.5">
      <c r="A982" t="s">
        <v>2233</v>
      </c>
      <c r="B982" t="s">
        <v>2234</v>
      </c>
      <c r="C982" t="s">
        <v>77</v>
      </c>
      <c r="D982" t="s">
        <v>25</v>
      </c>
      <c r="E982" t="s">
        <v>19</v>
      </c>
      <c r="F982" s="1">
        <v>46207</v>
      </c>
      <c r="G982" s="1">
        <v>46285</v>
      </c>
      <c r="H982" s="1">
        <v>46200</v>
      </c>
      <c r="I982" s="1">
        <v>46299</v>
      </c>
      <c r="J982" s="2">
        <v>96160.95</v>
      </c>
      <c r="K982" s="2">
        <v>88248.3</v>
      </c>
      <c r="L982" s="2">
        <v>162121.94</v>
      </c>
      <c r="M982">
        <v>1929</v>
      </c>
      <c r="N982">
        <v>1681</v>
      </c>
      <c r="O982" t="s">
        <v>34</v>
      </c>
      <c r="P982" s="2">
        <f>Tabela1[[#This Row],[orcamento_aprovado]]-Tabela1[[#This Row],[custo_real_acumulado]]</f>
        <v>7912.6499999999942</v>
      </c>
      <c r="Q982">
        <f>IF(Tabela1[[#This Row],[data_fim_real]]="","",Tabela1[[#This Row],[data_fim_real]]-Tabela1[[#This Row],[data_inicio_real]])</f>
        <v>99</v>
      </c>
    </row>
    <row r="983" spans="1:17" ht="16.5" x14ac:dyDescent="0.5">
      <c r="A983" t="s">
        <v>2235</v>
      </c>
      <c r="B983" t="s">
        <v>2236</v>
      </c>
      <c r="C983" t="s">
        <v>265</v>
      </c>
      <c r="D983" t="s">
        <v>54</v>
      </c>
      <c r="E983" t="s">
        <v>20</v>
      </c>
      <c r="F983" s="1">
        <v>46316</v>
      </c>
      <c r="G983" s="1">
        <v>46339</v>
      </c>
      <c r="H983" s="1"/>
      <c r="I983" s="1"/>
      <c r="J983" s="2">
        <v>81321.81</v>
      </c>
      <c r="K983" s="2">
        <v>0</v>
      </c>
      <c r="L983" s="2">
        <v>108243.61</v>
      </c>
      <c r="M983">
        <v>742</v>
      </c>
      <c r="N983">
        <v>0</v>
      </c>
      <c r="O983" t="s">
        <v>21</v>
      </c>
      <c r="P983" s="2">
        <f>Tabela1[[#This Row],[orcamento_aprovado]]-Tabela1[[#This Row],[custo_real_acumulado]]</f>
        <v>81321.81</v>
      </c>
      <c r="Q983" t="str">
        <f>IF(Tabela1[[#This Row],[data_fim_real]]="","",Tabela1[[#This Row],[data_fim_real]]-Tabela1[[#This Row],[data_inicio_real]])</f>
        <v/>
      </c>
    </row>
    <row r="984" spans="1:17" ht="16.5" x14ac:dyDescent="0.5">
      <c r="A984" t="s">
        <v>2237</v>
      </c>
      <c r="B984" t="s">
        <v>2238</v>
      </c>
      <c r="C984" t="s">
        <v>859</v>
      </c>
      <c r="D984" t="s">
        <v>78</v>
      </c>
      <c r="E984" t="s">
        <v>20</v>
      </c>
      <c r="F984" s="1">
        <v>46092</v>
      </c>
      <c r="G984" s="1">
        <v>46170</v>
      </c>
      <c r="H984" s="1">
        <v>46079</v>
      </c>
      <c r="I984" s="1"/>
      <c r="J984" s="2">
        <v>87680.71</v>
      </c>
      <c r="K984" s="2">
        <v>27643.87</v>
      </c>
      <c r="L984" s="2">
        <v>75635.360000000001</v>
      </c>
      <c r="M984">
        <v>563</v>
      </c>
      <c r="N984">
        <v>187</v>
      </c>
      <c r="O984" t="s">
        <v>26</v>
      </c>
      <c r="P984" s="2">
        <f>Tabela1[[#This Row],[orcamento_aprovado]]-Tabela1[[#This Row],[custo_real_acumulado]]</f>
        <v>60036.840000000011</v>
      </c>
      <c r="Q984" t="str">
        <f>IF(Tabela1[[#This Row],[data_fim_real]]="","",Tabela1[[#This Row],[data_fim_real]]-Tabela1[[#This Row],[data_inicio_real]])</f>
        <v/>
      </c>
    </row>
    <row r="985" spans="1:17" ht="16.5" x14ac:dyDescent="0.5">
      <c r="A985" t="s">
        <v>2239</v>
      </c>
      <c r="B985" t="s">
        <v>2240</v>
      </c>
      <c r="C985" t="s">
        <v>312</v>
      </c>
      <c r="D985" t="s">
        <v>54</v>
      </c>
      <c r="E985" t="s">
        <v>19</v>
      </c>
      <c r="F985" s="1">
        <v>46051</v>
      </c>
      <c r="G985" s="1">
        <v>46111</v>
      </c>
      <c r="H985" s="1">
        <v>46043</v>
      </c>
      <c r="I985" s="1"/>
      <c r="J985" s="2">
        <v>506590.89</v>
      </c>
      <c r="K985" s="2">
        <v>206691.12</v>
      </c>
      <c r="L985" s="2">
        <v>678414.47</v>
      </c>
      <c r="M985">
        <v>2704</v>
      </c>
      <c r="N985">
        <v>1074</v>
      </c>
      <c r="O985" t="s">
        <v>34</v>
      </c>
      <c r="P985" s="2">
        <f>Tabela1[[#This Row],[orcamento_aprovado]]-Tabela1[[#This Row],[custo_real_acumulado]]</f>
        <v>299899.77</v>
      </c>
      <c r="Q985" t="str">
        <f>IF(Tabela1[[#This Row],[data_fim_real]]="","",Tabela1[[#This Row],[data_fim_real]]-Tabela1[[#This Row],[data_inicio_real]])</f>
        <v/>
      </c>
    </row>
    <row r="986" spans="1:17" ht="16.5" x14ac:dyDescent="0.5">
      <c r="A986" t="s">
        <v>2241</v>
      </c>
      <c r="B986" t="s">
        <v>2242</v>
      </c>
      <c r="C986" t="s">
        <v>92</v>
      </c>
      <c r="D986" t="s">
        <v>54</v>
      </c>
      <c r="E986" t="s">
        <v>42</v>
      </c>
      <c r="F986" s="1">
        <v>46308</v>
      </c>
      <c r="G986" s="1">
        <v>46362</v>
      </c>
      <c r="H986" s="1">
        <v>46331</v>
      </c>
      <c r="I986" s="1"/>
      <c r="J986" s="2">
        <v>438102.31</v>
      </c>
      <c r="K986" s="2">
        <v>239847.47</v>
      </c>
      <c r="L986" s="2">
        <v>656816.56000000006</v>
      </c>
      <c r="M986">
        <v>703</v>
      </c>
      <c r="N986">
        <v>491</v>
      </c>
      <c r="O986" t="s">
        <v>21</v>
      </c>
      <c r="P986" s="2">
        <f>Tabela1[[#This Row],[orcamento_aprovado]]-Tabela1[[#This Row],[custo_real_acumulado]]</f>
        <v>198254.84</v>
      </c>
      <c r="Q986" t="str">
        <f>IF(Tabela1[[#This Row],[data_fim_real]]="","",Tabela1[[#This Row],[data_fim_real]]-Tabela1[[#This Row],[data_inicio_real]])</f>
        <v/>
      </c>
    </row>
    <row r="987" spans="1:17" ht="16.5" x14ac:dyDescent="0.5">
      <c r="A987" t="s">
        <v>2243</v>
      </c>
      <c r="B987" t="s">
        <v>2244</v>
      </c>
      <c r="C987" t="s">
        <v>1273</v>
      </c>
      <c r="D987" t="s">
        <v>18</v>
      </c>
      <c r="E987" t="s">
        <v>20</v>
      </c>
      <c r="F987" s="1">
        <v>46377</v>
      </c>
      <c r="G987" s="1">
        <v>46387</v>
      </c>
      <c r="H987" s="1">
        <v>46379</v>
      </c>
      <c r="I987" s="1">
        <v>46387</v>
      </c>
      <c r="J987" s="2">
        <v>123693.14</v>
      </c>
      <c r="K987" s="2">
        <v>137372.42000000001</v>
      </c>
      <c r="L987" s="2">
        <v>158535.66</v>
      </c>
      <c r="M987">
        <v>249</v>
      </c>
      <c r="N987">
        <v>295</v>
      </c>
      <c r="O987" t="s">
        <v>26</v>
      </c>
      <c r="P987" s="2">
        <f>Tabela1[[#This Row],[orcamento_aprovado]]-Tabela1[[#This Row],[custo_real_acumulado]]</f>
        <v>-13679.280000000013</v>
      </c>
      <c r="Q987">
        <f>IF(Tabela1[[#This Row],[data_fim_real]]="","",Tabela1[[#This Row],[data_fim_real]]-Tabela1[[#This Row],[data_inicio_real]])</f>
        <v>8</v>
      </c>
    </row>
    <row r="988" spans="1:17" ht="16.5" x14ac:dyDescent="0.5">
      <c r="A988" t="s">
        <v>2245</v>
      </c>
      <c r="B988" t="s">
        <v>2246</v>
      </c>
      <c r="C988" t="s">
        <v>949</v>
      </c>
      <c r="D988" t="s">
        <v>58</v>
      </c>
      <c r="E988" t="s">
        <v>43</v>
      </c>
      <c r="F988" s="1">
        <v>46345</v>
      </c>
      <c r="G988" s="1">
        <v>46382</v>
      </c>
      <c r="H988" s="1">
        <v>46346</v>
      </c>
      <c r="I988" s="1">
        <v>46387</v>
      </c>
      <c r="J988" s="2">
        <v>150149.10999999999</v>
      </c>
      <c r="K988" s="2">
        <v>176610.61</v>
      </c>
      <c r="L988" s="2">
        <v>224044.49</v>
      </c>
      <c r="M988">
        <v>1933</v>
      </c>
      <c r="N988">
        <v>1951</v>
      </c>
      <c r="O988" t="s">
        <v>34</v>
      </c>
      <c r="P988" s="2">
        <f>Tabela1[[#This Row],[orcamento_aprovado]]-Tabela1[[#This Row],[custo_real_acumulado]]</f>
        <v>-26461.5</v>
      </c>
      <c r="Q988">
        <f>IF(Tabela1[[#This Row],[data_fim_real]]="","",Tabela1[[#This Row],[data_fim_real]]-Tabela1[[#This Row],[data_inicio_real]])</f>
        <v>41</v>
      </c>
    </row>
    <row r="989" spans="1:17" ht="16.5" x14ac:dyDescent="0.5">
      <c r="A989" t="s">
        <v>2247</v>
      </c>
      <c r="B989" t="s">
        <v>2248</v>
      </c>
      <c r="C989" t="s">
        <v>174</v>
      </c>
      <c r="D989" t="s">
        <v>54</v>
      </c>
      <c r="E989" t="s">
        <v>20</v>
      </c>
      <c r="F989" s="1">
        <v>46240</v>
      </c>
      <c r="G989" s="1">
        <v>46315</v>
      </c>
      <c r="H989" s="1">
        <v>46233</v>
      </c>
      <c r="I989" s="1"/>
      <c r="J989" s="2">
        <v>68067.179999999993</v>
      </c>
      <c r="K989" s="2">
        <v>21146.89</v>
      </c>
      <c r="L989" s="2">
        <v>130416.17</v>
      </c>
      <c r="M989">
        <v>4830</v>
      </c>
      <c r="N989">
        <v>1147</v>
      </c>
      <c r="O989" t="s">
        <v>21</v>
      </c>
      <c r="P989" s="2">
        <f>Tabela1[[#This Row],[orcamento_aprovado]]-Tabela1[[#This Row],[custo_real_acumulado]]</f>
        <v>46920.289999999994</v>
      </c>
      <c r="Q989" t="str">
        <f>IF(Tabela1[[#This Row],[data_fim_real]]="","",Tabela1[[#This Row],[data_fim_real]]-Tabela1[[#This Row],[data_inicio_real]])</f>
        <v/>
      </c>
    </row>
    <row r="990" spans="1:17" ht="16.5" x14ac:dyDescent="0.5">
      <c r="A990" t="s">
        <v>2249</v>
      </c>
      <c r="B990" t="s">
        <v>2250</v>
      </c>
      <c r="C990" t="s">
        <v>647</v>
      </c>
      <c r="D990" t="s">
        <v>54</v>
      </c>
      <c r="E990" t="s">
        <v>20</v>
      </c>
      <c r="F990" s="1">
        <v>46101</v>
      </c>
      <c r="G990" s="1">
        <v>46194</v>
      </c>
      <c r="H990" s="1">
        <v>46101</v>
      </c>
      <c r="I990" s="1"/>
      <c r="J990" s="2">
        <v>50000</v>
      </c>
      <c r="K990" s="2">
        <v>38093.519999999997</v>
      </c>
      <c r="L990" s="2">
        <v>56488.639999999999</v>
      </c>
      <c r="M990">
        <v>3794</v>
      </c>
      <c r="N990">
        <v>2686</v>
      </c>
      <c r="O990" t="s">
        <v>26</v>
      </c>
      <c r="P990" s="2">
        <f>Tabela1[[#This Row],[orcamento_aprovado]]-Tabela1[[#This Row],[custo_real_acumulado]]</f>
        <v>11906.480000000003</v>
      </c>
      <c r="Q990" t="str">
        <f>IF(Tabela1[[#This Row],[data_fim_real]]="","",Tabela1[[#This Row],[data_fim_real]]-Tabela1[[#This Row],[data_inicio_real]])</f>
        <v/>
      </c>
    </row>
    <row r="991" spans="1:17" ht="16.5" x14ac:dyDescent="0.5">
      <c r="A991" t="s">
        <v>2251</v>
      </c>
      <c r="B991" t="s">
        <v>2252</v>
      </c>
      <c r="C991" t="s">
        <v>659</v>
      </c>
      <c r="D991" t="s">
        <v>25</v>
      </c>
      <c r="E991" t="s">
        <v>19</v>
      </c>
      <c r="F991" s="1">
        <v>46109</v>
      </c>
      <c r="G991" s="1">
        <v>46206</v>
      </c>
      <c r="H991" s="1">
        <v>46112</v>
      </c>
      <c r="I991" s="1"/>
      <c r="J991" s="2">
        <v>121918.83</v>
      </c>
      <c r="K991" s="2">
        <v>79786.539999999994</v>
      </c>
      <c r="L991" s="2">
        <v>83179.11</v>
      </c>
      <c r="M991">
        <v>1284</v>
      </c>
      <c r="N991">
        <v>909</v>
      </c>
      <c r="O991" t="s">
        <v>34</v>
      </c>
      <c r="P991" s="2">
        <f>Tabela1[[#This Row],[orcamento_aprovado]]-Tabela1[[#This Row],[custo_real_acumulado]]</f>
        <v>42132.290000000008</v>
      </c>
      <c r="Q991" t="str">
        <f>IF(Tabela1[[#This Row],[data_fim_real]]="","",Tabela1[[#This Row],[data_fim_real]]-Tabela1[[#This Row],[data_inicio_real]])</f>
        <v/>
      </c>
    </row>
    <row r="992" spans="1:17" ht="16.5" x14ac:dyDescent="0.5">
      <c r="A992" t="s">
        <v>2253</v>
      </c>
      <c r="B992" t="s">
        <v>2254</v>
      </c>
      <c r="C992" t="s">
        <v>430</v>
      </c>
      <c r="D992" t="s">
        <v>58</v>
      </c>
      <c r="E992" t="s">
        <v>20</v>
      </c>
      <c r="F992" s="1">
        <v>46040</v>
      </c>
      <c r="G992" s="1">
        <v>46080</v>
      </c>
      <c r="H992" s="1">
        <v>46055</v>
      </c>
      <c r="I992" s="1"/>
      <c r="J992" s="2">
        <v>198326.94</v>
      </c>
      <c r="K992" s="2">
        <v>130359.54</v>
      </c>
      <c r="L992" s="2">
        <v>244816.47</v>
      </c>
      <c r="M992">
        <v>669</v>
      </c>
      <c r="N992">
        <v>404</v>
      </c>
      <c r="O992" t="s">
        <v>21</v>
      </c>
      <c r="P992" s="2">
        <f>Tabela1[[#This Row],[orcamento_aprovado]]-Tabela1[[#This Row],[custo_real_acumulado]]</f>
        <v>67967.400000000009</v>
      </c>
      <c r="Q992" t="str">
        <f>IF(Tabela1[[#This Row],[data_fim_real]]="","",Tabela1[[#This Row],[data_fim_real]]-Tabela1[[#This Row],[data_inicio_real]])</f>
        <v/>
      </c>
    </row>
    <row r="993" spans="1:17" ht="16.5" x14ac:dyDescent="0.5">
      <c r="A993" t="s">
        <v>2255</v>
      </c>
      <c r="B993" t="s">
        <v>2256</v>
      </c>
      <c r="C993" t="s">
        <v>315</v>
      </c>
      <c r="D993" t="s">
        <v>58</v>
      </c>
      <c r="E993" t="s">
        <v>20</v>
      </c>
      <c r="F993" s="1">
        <v>46204</v>
      </c>
      <c r="G993" s="1">
        <v>46365</v>
      </c>
      <c r="H993" s="1">
        <v>46220</v>
      </c>
      <c r="I993" s="1"/>
      <c r="J993" s="2">
        <v>82909.460000000006</v>
      </c>
      <c r="K993" s="2">
        <v>54743.040000000001</v>
      </c>
      <c r="L993" s="2">
        <v>70549.38</v>
      </c>
      <c r="M993">
        <v>3293</v>
      </c>
      <c r="N993">
        <v>1715</v>
      </c>
      <c r="O993" t="s">
        <v>26</v>
      </c>
      <c r="P993" s="2">
        <f>Tabela1[[#This Row],[orcamento_aprovado]]-Tabela1[[#This Row],[custo_real_acumulado]]</f>
        <v>28166.420000000006</v>
      </c>
      <c r="Q993" t="str">
        <f>IF(Tabela1[[#This Row],[data_fim_real]]="","",Tabela1[[#This Row],[data_fim_real]]-Tabela1[[#This Row],[data_inicio_real]])</f>
        <v/>
      </c>
    </row>
    <row r="994" spans="1:17" ht="16.5" x14ac:dyDescent="0.5">
      <c r="A994" t="s">
        <v>2257</v>
      </c>
      <c r="B994" t="s">
        <v>2258</v>
      </c>
      <c r="C994" t="s">
        <v>347</v>
      </c>
      <c r="D994" t="s">
        <v>50</v>
      </c>
      <c r="E994" t="s">
        <v>19</v>
      </c>
      <c r="F994" s="1">
        <v>46097</v>
      </c>
      <c r="G994" s="1">
        <v>46188</v>
      </c>
      <c r="H994" s="1">
        <v>46106</v>
      </c>
      <c r="I994" s="1"/>
      <c r="J994" s="2">
        <v>101402.61</v>
      </c>
      <c r="K994" s="2">
        <v>55650.38</v>
      </c>
      <c r="L994" s="2">
        <v>71940.3</v>
      </c>
      <c r="M994">
        <v>2321</v>
      </c>
      <c r="N994">
        <v>1022</v>
      </c>
      <c r="O994" t="s">
        <v>34</v>
      </c>
      <c r="P994" s="2">
        <f>Tabela1[[#This Row],[orcamento_aprovado]]-Tabela1[[#This Row],[custo_real_acumulado]]</f>
        <v>45752.23</v>
      </c>
      <c r="Q994" t="str">
        <f>IF(Tabela1[[#This Row],[data_fim_real]]="","",Tabela1[[#This Row],[data_fim_real]]-Tabela1[[#This Row],[data_inicio_real]])</f>
        <v/>
      </c>
    </row>
    <row r="995" spans="1:17" ht="16.5" x14ac:dyDescent="0.5">
      <c r="A995" t="s">
        <v>2259</v>
      </c>
      <c r="B995" t="s">
        <v>2260</v>
      </c>
      <c r="C995" t="s">
        <v>956</v>
      </c>
      <c r="D995" t="s">
        <v>33</v>
      </c>
      <c r="E995" t="s">
        <v>19</v>
      </c>
      <c r="F995" s="1">
        <v>46204</v>
      </c>
      <c r="G995" s="1">
        <v>46310</v>
      </c>
      <c r="H995" s="1">
        <v>46214</v>
      </c>
      <c r="I995" s="1"/>
      <c r="J995" s="2">
        <v>50000</v>
      </c>
      <c r="K995" s="2">
        <v>35260.99</v>
      </c>
      <c r="L995" s="2">
        <v>109919.21</v>
      </c>
      <c r="M995">
        <v>2334</v>
      </c>
      <c r="N995">
        <v>1751</v>
      </c>
      <c r="O995" t="s">
        <v>21</v>
      </c>
      <c r="P995" s="2">
        <f>Tabela1[[#This Row],[orcamento_aprovado]]-Tabela1[[#This Row],[custo_real_acumulado]]</f>
        <v>14739.010000000002</v>
      </c>
      <c r="Q995" t="str">
        <f>IF(Tabela1[[#This Row],[data_fim_real]]="","",Tabela1[[#This Row],[data_fim_real]]-Tabela1[[#This Row],[data_inicio_real]])</f>
        <v/>
      </c>
    </row>
    <row r="996" spans="1:17" ht="16.5" x14ac:dyDescent="0.5">
      <c r="A996" t="s">
        <v>2261</v>
      </c>
      <c r="B996" t="s">
        <v>2262</v>
      </c>
      <c r="C996" t="s">
        <v>888</v>
      </c>
      <c r="D996" t="s">
        <v>18</v>
      </c>
      <c r="E996" t="s">
        <v>43</v>
      </c>
      <c r="F996" s="1">
        <v>46076</v>
      </c>
      <c r="G996" s="1">
        <v>46173</v>
      </c>
      <c r="H996" s="1">
        <v>46070</v>
      </c>
      <c r="I996" s="1"/>
      <c r="J996" s="2">
        <v>165990.18</v>
      </c>
      <c r="K996" s="2">
        <v>76220.429999999993</v>
      </c>
      <c r="L996" s="2">
        <v>276094.78999999998</v>
      </c>
      <c r="M996">
        <v>2620</v>
      </c>
      <c r="N996">
        <v>937</v>
      </c>
      <c r="O996" t="s">
        <v>26</v>
      </c>
      <c r="P996" s="2">
        <f>Tabela1[[#This Row],[orcamento_aprovado]]-Tabela1[[#This Row],[custo_real_acumulado]]</f>
        <v>89769.75</v>
      </c>
      <c r="Q996" t="str">
        <f>IF(Tabela1[[#This Row],[data_fim_real]]="","",Tabela1[[#This Row],[data_fim_real]]-Tabela1[[#This Row],[data_inicio_real]])</f>
        <v/>
      </c>
    </row>
    <row r="997" spans="1:17" ht="16.5" x14ac:dyDescent="0.5">
      <c r="A997" t="s">
        <v>2263</v>
      </c>
      <c r="B997" t="s">
        <v>2264</v>
      </c>
      <c r="C997" t="s">
        <v>1010</v>
      </c>
      <c r="D997" t="s">
        <v>18</v>
      </c>
      <c r="E997" t="s">
        <v>19</v>
      </c>
      <c r="F997" s="1">
        <v>46362</v>
      </c>
      <c r="G997" s="1">
        <v>46387</v>
      </c>
      <c r="H997" s="1">
        <v>46367</v>
      </c>
      <c r="I997" s="1"/>
      <c r="J997" s="2">
        <v>78535.199999999997</v>
      </c>
      <c r="K997" s="2">
        <v>35401.56</v>
      </c>
      <c r="L997" s="2">
        <v>113978.55</v>
      </c>
      <c r="M997">
        <v>478</v>
      </c>
      <c r="N997">
        <v>164</v>
      </c>
      <c r="O997" t="s">
        <v>34</v>
      </c>
      <c r="P997" s="2">
        <f>Tabela1[[#This Row],[orcamento_aprovado]]-Tabela1[[#This Row],[custo_real_acumulado]]</f>
        <v>43133.64</v>
      </c>
      <c r="Q997" t="str">
        <f>IF(Tabela1[[#This Row],[data_fim_real]]="","",Tabela1[[#This Row],[data_fim_real]]-Tabela1[[#This Row],[data_inicio_real]])</f>
        <v/>
      </c>
    </row>
    <row r="998" spans="1:17" ht="16.5" x14ac:dyDescent="0.5">
      <c r="A998" t="s">
        <v>2265</v>
      </c>
      <c r="B998" t="s">
        <v>2266</v>
      </c>
      <c r="C998" t="s">
        <v>928</v>
      </c>
      <c r="D998" t="s">
        <v>18</v>
      </c>
      <c r="E998" t="s">
        <v>42</v>
      </c>
      <c r="F998" s="1">
        <v>46160</v>
      </c>
      <c r="G998" s="1">
        <v>46199</v>
      </c>
      <c r="H998" s="1">
        <v>46177</v>
      </c>
      <c r="I998" s="1"/>
      <c r="J998" s="2">
        <v>185574.89</v>
      </c>
      <c r="K998" s="2">
        <v>37092.86</v>
      </c>
      <c r="L998" s="2">
        <v>72503.03</v>
      </c>
      <c r="M998">
        <v>1782</v>
      </c>
      <c r="N998">
        <v>353</v>
      </c>
      <c r="O998" t="s">
        <v>21</v>
      </c>
      <c r="P998" s="2">
        <f>Tabela1[[#This Row],[orcamento_aprovado]]-Tabela1[[#This Row],[custo_real_acumulado]]</f>
        <v>148482.03000000003</v>
      </c>
      <c r="Q998" t="str">
        <f>IF(Tabela1[[#This Row],[data_fim_real]]="","",Tabela1[[#This Row],[data_fim_real]]-Tabela1[[#This Row],[data_inicio_real]])</f>
        <v/>
      </c>
    </row>
    <row r="999" spans="1:17" ht="16.5" x14ac:dyDescent="0.5">
      <c r="A999" t="s">
        <v>2267</v>
      </c>
      <c r="B999" t="s">
        <v>2268</v>
      </c>
      <c r="C999" t="s">
        <v>2064</v>
      </c>
      <c r="D999" t="s">
        <v>71</v>
      </c>
      <c r="E999" t="s">
        <v>43</v>
      </c>
      <c r="F999" s="1">
        <v>46032</v>
      </c>
      <c r="G999" s="1">
        <v>46060</v>
      </c>
      <c r="H999" s="1">
        <v>46062</v>
      </c>
      <c r="I999" s="1"/>
      <c r="J999" s="2">
        <v>110590.73</v>
      </c>
      <c r="K999" s="2">
        <v>64276.31</v>
      </c>
      <c r="L999" s="2">
        <v>199159.77</v>
      </c>
      <c r="M999">
        <v>683</v>
      </c>
      <c r="N999">
        <v>422</v>
      </c>
      <c r="O999" t="s">
        <v>26</v>
      </c>
      <c r="P999" s="2">
        <f>Tabela1[[#This Row],[orcamento_aprovado]]-Tabela1[[#This Row],[custo_real_acumulado]]</f>
        <v>46314.42</v>
      </c>
      <c r="Q999" t="str">
        <f>IF(Tabela1[[#This Row],[data_fim_real]]="","",Tabela1[[#This Row],[data_fim_real]]-Tabela1[[#This Row],[data_inicio_real]])</f>
        <v/>
      </c>
    </row>
    <row r="1000" spans="1:17" ht="16.5" x14ac:dyDescent="0.5">
      <c r="A1000" t="s">
        <v>2269</v>
      </c>
      <c r="B1000" t="s">
        <v>2270</v>
      </c>
      <c r="C1000" t="s">
        <v>309</v>
      </c>
      <c r="D1000" t="s">
        <v>58</v>
      </c>
      <c r="E1000" t="s">
        <v>19</v>
      </c>
      <c r="F1000" s="1">
        <v>46295</v>
      </c>
      <c r="G1000" s="1">
        <v>46361</v>
      </c>
      <c r="H1000" s="1">
        <v>46286</v>
      </c>
      <c r="I1000" s="1">
        <v>46367</v>
      </c>
      <c r="J1000" s="2">
        <v>480944.7</v>
      </c>
      <c r="K1000" s="2">
        <v>530742.27</v>
      </c>
      <c r="L1000" s="2">
        <v>534699.73</v>
      </c>
      <c r="M1000">
        <v>1347</v>
      </c>
      <c r="N1000">
        <v>1207</v>
      </c>
      <c r="O1000" t="s">
        <v>34</v>
      </c>
      <c r="P1000" s="2">
        <f>Tabela1[[#This Row],[orcamento_aprovado]]-Tabela1[[#This Row],[custo_real_acumulado]]</f>
        <v>-49797.570000000007</v>
      </c>
      <c r="Q1000">
        <f>IF(Tabela1[[#This Row],[data_fim_real]]="","",Tabela1[[#This Row],[data_fim_real]]-Tabela1[[#This Row],[data_inicio_real]])</f>
        <v>81</v>
      </c>
    </row>
    <row r="1001" spans="1:17" ht="16.5" x14ac:dyDescent="0.5">
      <c r="A1001" t="s">
        <v>2271</v>
      </c>
      <c r="B1001" t="s">
        <v>2272</v>
      </c>
      <c r="C1001" t="s">
        <v>1909</v>
      </c>
      <c r="D1001" t="s">
        <v>18</v>
      </c>
      <c r="E1001" t="s">
        <v>20</v>
      </c>
      <c r="F1001" s="1">
        <v>46196</v>
      </c>
      <c r="G1001" s="1">
        <v>46292</v>
      </c>
      <c r="H1001" s="1">
        <v>46202</v>
      </c>
      <c r="I1001" s="1"/>
      <c r="J1001" s="2">
        <v>281575.5</v>
      </c>
      <c r="K1001" s="2">
        <v>271078.15000000002</v>
      </c>
      <c r="L1001" s="2">
        <v>431211.49</v>
      </c>
      <c r="M1001">
        <v>819</v>
      </c>
      <c r="N1001">
        <v>697</v>
      </c>
      <c r="O1001" t="s">
        <v>21</v>
      </c>
      <c r="P1001" s="2">
        <f>Tabela1[[#This Row],[orcamento_aprovado]]-Tabela1[[#This Row],[custo_real_acumulado]]</f>
        <v>10497.349999999977</v>
      </c>
      <c r="Q1001" t="str">
        <f>IF(Tabela1[[#This Row],[data_fim_real]]="","",Tabela1[[#This Row],[data_fim_real]]-Tabela1[[#This Row],[data_inicio_real]])</f>
        <v/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E7FA4-6531-41CA-87B1-4CA3B89E542A}">
  <dimension ref="AE18"/>
  <sheetViews>
    <sheetView showGridLines="0" tabSelected="1" zoomScale="40" zoomScaleNormal="40" workbookViewId="0">
      <selection activeCell="AC3" sqref="AC3"/>
    </sheetView>
  </sheetViews>
  <sheetFormatPr defaultRowHeight="16.5" x14ac:dyDescent="0.5"/>
  <cols>
    <col min="1" max="1" width="3.6328125" customWidth="1"/>
    <col min="5" max="5" width="3.6328125" customWidth="1"/>
    <col min="16" max="16" width="3.6328125" customWidth="1"/>
    <col min="27" max="27" width="3.6328125" customWidth="1"/>
    <col min="33" max="33" width="3.6328125" customWidth="1"/>
  </cols>
  <sheetData>
    <row r="18" spans="31:31" x14ac:dyDescent="0.5">
      <c r="AE18" s="7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Tabela Dinamica</vt:lpstr>
      <vt:lpstr>Base de Dados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ExcelenteJoao</dc:creator>
  <cp:lastModifiedBy>DELL</cp:lastModifiedBy>
  <dcterms:created xsi:type="dcterms:W3CDTF">2015-06-05T18:17:20Z</dcterms:created>
  <dcterms:modified xsi:type="dcterms:W3CDTF">2026-08-17T00:01:13Z</dcterms:modified>
</cp:coreProperties>
</file>