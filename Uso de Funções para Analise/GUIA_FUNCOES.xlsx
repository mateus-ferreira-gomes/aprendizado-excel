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ink/ink1.xml" ContentType="application/inkml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LL\Desktop\Meus projetos\aprendizado-excel\Uso de Funções para Analise\"/>
    </mc:Choice>
  </mc:AlternateContent>
  <xr:revisionPtr revIDLastSave="0" documentId="8_{30DCF96C-9A5E-4527-A55B-2FCAF31B0DE0}" xr6:coauthVersionLast="47" xr6:coauthVersionMax="47" xr10:uidLastSave="{00000000-0000-0000-0000-000000000000}"/>
  <bookViews>
    <workbookView xWindow="-110" yWindow="-110" windowWidth="25820" windowHeight="10300" activeTab="3" xr2:uid="{00000000-000D-0000-FFFF-FFFF00000000}"/>
  </bookViews>
  <sheets>
    <sheet name="SOMA_MEDIA_CONTE.VALORES" sheetId="4" r:id="rId1"/>
    <sheet name="PROCV_MAX_MIN" sheetId="2" r:id="rId2"/>
    <sheet name="PROCX" sheetId="3" r:id="rId3"/>
    <sheet name="SE" sheetId="8" r:id="rId4"/>
    <sheet name="SOMASE" sheetId="1" r:id="rId5"/>
    <sheet name="CONT.SE" sheetId="6" r:id="rId6"/>
    <sheet name="CONTE.VALORES_CONTARVAZIO_%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8" l="1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G3" i="7"/>
  <c r="G11" i="7" s="1"/>
  <c r="G7" i="7"/>
  <c r="J2" i="6"/>
  <c r="J3" i="6"/>
  <c r="J4" i="6"/>
  <c r="J5" i="6"/>
  <c r="J6" i="6"/>
  <c r="J7" i="6"/>
  <c r="I3" i="4"/>
  <c r="I7" i="4"/>
  <c r="I13" i="4"/>
  <c r="F2" i="3"/>
  <c r="G2" i="3" s="1"/>
  <c r="F5" i="3"/>
  <c r="G5" i="3" s="1"/>
  <c r="F2" i="2"/>
  <c r="G2" i="2" s="1"/>
  <c r="F5" i="2"/>
  <c r="G5" i="2" s="1"/>
  <c r="G3" i="1"/>
  <c r="G4" i="1"/>
  <c r="G5" i="1"/>
  <c r="G2" i="1"/>
</calcChain>
</file>

<file path=xl/sharedStrings.xml><?xml version="1.0" encoding="utf-8"?>
<sst xmlns="http://schemas.openxmlformats.org/spreadsheetml/2006/main" count="388" uniqueCount="137">
  <si>
    <t>DATA</t>
  </si>
  <si>
    <t>VENDAS</t>
  </si>
  <si>
    <t>VENDEDOR</t>
  </si>
  <si>
    <t>TOTAL VENDIDO</t>
  </si>
  <si>
    <t>Semana 01</t>
  </si>
  <si>
    <t>Guilherme Machado</t>
  </si>
  <si>
    <t>Leila Vasconcelos</t>
  </si>
  <si>
    <t>Pedro Moraes</t>
  </si>
  <si>
    <t>Maria Müller</t>
  </si>
  <si>
    <t>Semana 02</t>
  </si>
  <si>
    <t>Semana 03</t>
  </si>
  <si>
    <t>Semana 04</t>
  </si>
  <si>
    <t>MENOR VALOR VENDIDO</t>
  </si>
  <si>
    <t>MAIOR VALOR VENDIDO</t>
  </si>
  <si>
    <t>SEMANA DA VENDA</t>
  </si>
  <si>
    <t>Item 020</t>
  </si>
  <si>
    <t>Celina</t>
  </si>
  <si>
    <t>845-id 810</t>
  </si>
  <si>
    <t>20/01/2024</t>
  </si>
  <si>
    <t>Item 019</t>
  </si>
  <si>
    <t>Alcione</t>
  </si>
  <si>
    <t>517-id 321</t>
  </si>
  <si>
    <t>19/01/2024</t>
  </si>
  <si>
    <t>Item 018</t>
  </si>
  <si>
    <t>Antonia</t>
  </si>
  <si>
    <t>104-id 637</t>
  </si>
  <si>
    <t>18/01/2024</t>
  </si>
  <si>
    <t>Item 017</t>
  </si>
  <si>
    <t>Maria</t>
  </si>
  <si>
    <t>140-id 686</t>
  </si>
  <si>
    <t>17/01/2024</t>
  </si>
  <si>
    <t>Item 016</t>
  </si>
  <si>
    <t>Olga</t>
  </si>
  <si>
    <t>316-id 509</t>
  </si>
  <si>
    <t>16/01/2024</t>
  </si>
  <si>
    <t>Item 015</t>
  </si>
  <si>
    <t>Naiara</t>
  </si>
  <si>
    <t>966-id 303</t>
  </si>
  <si>
    <t>15/01/2024</t>
  </si>
  <si>
    <t>Item 014</t>
  </si>
  <si>
    <t>Mara</t>
  </si>
  <si>
    <t>352-id 733</t>
  </si>
  <si>
    <t>14/01/2024</t>
  </si>
  <si>
    <t>Item 013</t>
  </si>
  <si>
    <t>Alexandra</t>
  </si>
  <si>
    <t>250-id 197</t>
  </si>
  <si>
    <t>13/01/2024</t>
  </si>
  <si>
    <t>Item 012</t>
  </si>
  <si>
    <t>Isadora</t>
  </si>
  <si>
    <t>685-id 362</t>
  </si>
  <si>
    <t>12/01/2024</t>
  </si>
  <si>
    <t>Ticket Médio</t>
  </si>
  <si>
    <t>Item 011</t>
  </si>
  <si>
    <t>Hilda</t>
  </si>
  <si>
    <t>481-id 313</t>
  </si>
  <si>
    <t>11/01/2024</t>
  </si>
  <si>
    <t>Item 010</t>
  </si>
  <si>
    <t>Valentina</t>
  </si>
  <si>
    <t>733-id 609</t>
  </si>
  <si>
    <t>10/01/2024</t>
  </si>
  <si>
    <t>Item 009</t>
  </si>
  <si>
    <t>Maya</t>
  </si>
  <si>
    <t>485-id 902</t>
  </si>
  <si>
    <t>09/01/2024</t>
  </si>
  <si>
    <t>Item 008</t>
  </si>
  <si>
    <t>Iara</t>
  </si>
  <si>
    <t>804-id 181</t>
  </si>
  <si>
    <t>08/01/2024</t>
  </si>
  <si>
    <t>Item 007</t>
  </si>
  <si>
    <t>Berenice</t>
  </si>
  <si>
    <t>498-id 966</t>
  </si>
  <si>
    <t>07/01/2024</t>
  </si>
  <si>
    <t>Item 006</t>
  </si>
  <si>
    <t>Adália</t>
  </si>
  <si>
    <t>631-id 176</t>
  </si>
  <si>
    <t>06/01/2024</t>
  </si>
  <si>
    <t>Total de Pedidos</t>
  </si>
  <si>
    <t>Item 005</t>
  </si>
  <si>
    <t>Leila</t>
  </si>
  <si>
    <t>938-id 875</t>
  </si>
  <si>
    <t>05/01/2024</t>
  </si>
  <si>
    <t>Item 004</t>
  </si>
  <si>
    <t>Karin</t>
  </si>
  <si>
    <t>108-id 366</t>
  </si>
  <si>
    <t>04/01/2024</t>
  </si>
  <si>
    <t>Item 003</t>
  </si>
  <si>
    <t>504-id 681</t>
  </si>
  <si>
    <t>03/01/2024</t>
  </si>
  <si>
    <t>Item 002</t>
  </si>
  <si>
    <t>Melissa</t>
  </si>
  <si>
    <t>995-id 865</t>
  </si>
  <si>
    <t>02/01/2024</t>
  </si>
  <si>
    <t>Total Geral</t>
  </si>
  <si>
    <t>Item 001</t>
  </si>
  <si>
    <t>358-id 329</t>
  </si>
  <si>
    <t>01/01/2024</t>
  </si>
  <si>
    <t>TOTAL</t>
  </si>
  <si>
    <t>QTD</t>
  </si>
  <si>
    <t>PRODUTO</t>
  </si>
  <si>
    <t>CLIENTE</t>
  </si>
  <si>
    <t>ID_PEDIDO</t>
  </si>
  <si>
    <t>845-id 610</t>
  </si>
  <si>
    <t>498-id 996</t>
  </si>
  <si>
    <t>TOTAL DE PEDIDOS</t>
  </si>
  <si>
    <t>OK</t>
  </si>
  <si>
    <t>Antônia</t>
  </si>
  <si>
    <t>% INSCRITOS NA PALESTRA</t>
  </si>
  <si>
    <t xml:space="preserve">QTD NÃO INSCRITOS </t>
  </si>
  <si>
    <t>QTD INSCRITOS NA PALESTRA</t>
  </si>
  <si>
    <t>INSCRIÇÃO PALESTRA</t>
  </si>
  <si>
    <t>ID ESTUDANTE</t>
  </si>
  <si>
    <t>NOME ESTUDANTE</t>
  </si>
  <si>
    <t>* Pelo menos 70% da classe tem que estar inscrita na palestra.</t>
  </si>
  <si>
    <t>Café Torrado e Moído 250g</t>
  </si>
  <si>
    <t>31/07/2024</t>
  </si>
  <si>
    <t>Café em Grãos Premium 1Kg</t>
  </si>
  <si>
    <t>Café com Caramelo 10 cápsulas</t>
  </si>
  <si>
    <t>Chocolate com Whey 250ml</t>
  </si>
  <si>
    <t>Pré-treino 150g</t>
  </si>
  <si>
    <t>Pré-treino 300g</t>
  </si>
  <si>
    <t>Coenzima Q10 60 cápsulas</t>
  </si>
  <si>
    <t>Ômega 3 240 cápsulas</t>
  </si>
  <si>
    <t>Ômega 3 180 cápsulas</t>
  </si>
  <si>
    <t>Ômega 3 60 cápsulas</t>
  </si>
  <si>
    <t>Ômega 3 120 cápsulas</t>
  </si>
  <si>
    <t>Água com Sabor Zero Lata 350ml</t>
  </si>
  <si>
    <t>Creatina 180 cápsulas</t>
  </si>
  <si>
    <t>Creatina 120 cápsulas</t>
  </si>
  <si>
    <t>Creatina 60 cápsulas</t>
  </si>
  <si>
    <t>Creatina 1,0Kg</t>
  </si>
  <si>
    <t>Creatina 150g</t>
  </si>
  <si>
    <t>Creatina 400g</t>
  </si>
  <si>
    <t>Creatina 300g</t>
  </si>
  <si>
    <t>STATUS</t>
  </si>
  <si>
    <t>ID</t>
  </si>
  <si>
    <t>VALOR UNIT</t>
  </si>
  <si>
    <t>SAÍDAS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</si>
</sst>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E66100"/>
        <bgColor rgb="FFE66100"/>
      </patternFill>
    </fill>
    <fill>
      <patternFill patternType="solid">
        <fgColor rgb="FFFDEADA"/>
        <bgColor rgb="FFFDEADA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9FBF9"/>
        <bgColor rgb="FFF9FBF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E7E34"/>
        <bgColor rgb="FF1E7E34"/>
      </patternFill>
    </fill>
    <fill>
      <patternFill patternType="solid">
        <fgColor rgb="FF7030A0"/>
        <bgColor rgb="FF7030A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3366CC"/>
        <bgColor rgb="FF3366CC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rgb="FFFFC000"/>
      </patternFill>
    </fill>
  </fills>
  <borders count="7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0" fillId="4" borderId="1" xfId="0" applyFill="1" applyBorder="1"/>
    <xf numFmtId="164" fontId="4" fillId="5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0" fillId="0" borderId="1" xfId="0" applyBorder="1"/>
    <xf numFmtId="0" fontId="5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4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164" fontId="0" fillId="7" borderId="4" xfId="0" applyNumberFormat="1" applyFill="1" applyBorder="1" applyAlignment="1">
      <alignment horizontal="right"/>
    </xf>
    <xf numFmtId="3" fontId="0" fillId="7" borderId="4" xfId="0" applyNumberFormat="1" applyFill="1" applyBorder="1" applyAlignment="1">
      <alignment horizontal="right"/>
    </xf>
    <xf numFmtId="0" fontId="0" fillId="7" borderId="4" xfId="0" applyFill="1" applyBorder="1" applyAlignment="1">
      <alignment horizontal="left"/>
    </xf>
    <xf numFmtId="0" fontId="0" fillId="7" borderId="4" xfId="0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0" fillId="9" borderId="0" xfId="0" applyFill="1"/>
    <xf numFmtId="0" fontId="0" fillId="0" borderId="5" xfId="0" applyBorder="1" applyAlignment="1">
      <alignment horizontal="center"/>
    </xf>
    <xf numFmtId="0" fontId="1" fillId="10" borderId="0" xfId="0" applyFont="1" applyFill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9" fontId="0" fillId="0" borderId="5" xfId="1" applyFont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5" fillId="13" borderId="6" xfId="0" applyFont="1" applyFill="1" applyBorder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527050</xdr:colOff>
      <xdr:row>0</xdr:row>
      <xdr:rowOff>38100</xdr:rowOff>
    </xdr:from>
    <xdr:to>
      <xdr:col>19</xdr:col>
      <xdr:colOff>342900</xdr:colOff>
      <xdr:row>3</xdr:row>
      <xdr:rowOff>139700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49F368D-ED18-475D-A420-2A6A5293ED9D}"/>
            </a:ext>
          </a:extLst>
        </xdr:cNvPr>
        <xdr:cNvSpPr txBox="1"/>
      </xdr:nvSpPr>
      <xdr:spPr>
        <a:xfrm>
          <a:off x="6013450" y="38100"/>
          <a:ext cx="5911850" cy="654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saber o total geral vendido eu utilizei a função SOMA. Para usar essa função, primeiro eu digito =SOMA( na célula onde quero o resultado. Em seguida, eu clico e arrasto o mouse sobre os números que desejo somar. Por fim, eu fecho o parêntese ) e aperto Enter.</a:t>
          </a:r>
        </a:p>
        <a:p>
          <a:endParaRPr lang="pt-BR" sz="1100"/>
        </a:p>
      </xdr:txBody>
    </xdr:sp>
    <xdr:clientData/>
  </xdr:twoCellAnchor>
  <xdr:twoCellAnchor>
    <xdr:from>
      <xdr:col>9</xdr:col>
      <xdr:colOff>558800</xdr:colOff>
      <xdr:row>4</xdr:row>
      <xdr:rowOff>88900</xdr:rowOff>
    </xdr:from>
    <xdr:to>
      <xdr:col>19</xdr:col>
      <xdr:colOff>330200</xdr:colOff>
      <xdr:row>9</xdr:row>
      <xdr:rowOff>31750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2896F7F-0EE8-49FF-A327-837B1E0EED8F}"/>
            </a:ext>
          </a:extLst>
        </xdr:cNvPr>
        <xdr:cNvSpPr txBox="1"/>
      </xdr:nvSpPr>
      <xdr:spPr>
        <a:xfrm>
          <a:off x="6045200" y="825500"/>
          <a:ext cx="5867400" cy="863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saber quantos pedidos existem eu utilizo a função CONTE.VALORES e faço o mesmo processo. Para usar essa função, primeiro eu digito =CONTE.VALORES( na célula onde quero o resultado. Em seguida, eu clico e arrasto o mouse sobre a lista de pedidos que desejo contar. Por fim, eu fecho o parêntese ) e aperto Enter.</a:t>
          </a:r>
        </a:p>
        <a:p>
          <a:endParaRPr lang="pt-BR" sz="1100"/>
        </a:p>
      </xdr:txBody>
    </xdr:sp>
    <xdr:clientData/>
  </xdr:twoCellAnchor>
  <xdr:twoCellAnchor>
    <xdr:from>
      <xdr:col>9</xdr:col>
      <xdr:colOff>527050</xdr:colOff>
      <xdr:row>10</xdr:row>
      <xdr:rowOff>63500</xdr:rowOff>
    </xdr:from>
    <xdr:to>
      <xdr:col>19</xdr:col>
      <xdr:colOff>355600</xdr:colOff>
      <xdr:row>14</xdr:row>
      <xdr:rowOff>114300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361C91B3-F8A7-4FFE-B4BB-7B608455762D}"/>
            </a:ext>
          </a:extLst>
        </xdr:cNvPr>
        <xdr:cNvSpPr txBox="1"/>
      </xdr:nvSpPr>
      <xdr:spPr>
        <a:xfrm>
          <a:off x="6013450" y="1905000"/>
          <a:ext cx="5924550" cy="787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saber o ticket médio dos valores vendidos, eu utilizei a função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=MÉDIA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Para usar essa função, primeiro eu digito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=MÉDIA(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na célula onde quero o resultado. Em seguida, eu clico e arrasto o mouse sobre todos os valores da coluna de total das vendas. Por fim, eu fecho o parêntese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aperto </a:t>
          </a:r>
          <a:r>
            <a:rPr lang="pt-BR" sz="1100" b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Enter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para obter o valor médio por pedido.</a:t>
          </a:r>
        </a:p>
        <a:p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5</xdr:row>
      <xdr:rowOff>146050</xdr:rowOff>
    </xdr:from>
    <xdr:to>
      <xdr:col>7</xdr:col>
      <xdr:colOff>444500</xdr:colOff>
      <xdr:row>22</xdr:row>
      <xdr:rowOff>31750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310BFF2-A252-4B03-8C95-11DAAE2C5E69}"/>
            </a:ext>
          </a:extLst>
        </xdr:cNvPr>
        <xdr:cNvSpPr txBox="1"/>
      </xdr:nvSpPr>
      <xdr:spPr>
        <a:xfrm>
          <a:off x="2698750" y="1066800"/>
          <a:ext cx="2012950" cy="301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>
              <a:latin typeface="Arial" panose="020B0604020202020204" pitchFamily="34" charset="0"/>
              <a:cs typeface="Arial" panose="020B0604020202020204" pitchFamily="34" charset="0"/>
            </a:rPr>
            <a:t>MAIOR VALOR VENDIDO</a:t>
          </a:r>
        </a:p>
        <a:p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Para saber qual foi o maior valor de venda da lista, eu utilizei a função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=MÁXIMO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. Para usar essa função, primeiro eu digito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=MÁXIMO(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na célula onde quero o resultado. Em seguida, clico e arrasto o mouse sobre a coluna com os valores das vendas, fecho o parêntese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e aperto Enter.</a:t>
          </a:r>
        </a:p>
        <a:p>
          <a:endParaRPr lang="pt-BR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b="1">
              <a:latin typeface="Arial" panose="020B0604020202020204" pitchFamily="34" charset="0"/>
              <a:cs typeface="Arial" panose="020B0604020202020204" pitchFamily="34" charset="0"/>
            </a:rPr>
            <a:t>MENOR VALOR VENDIDO</a:t>
          </a:r>
        </a:p>
        <a:p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Para saber qual foi o menor valor de venda, eu utilizei a função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=MÍNIMO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. O processo é exatamente o mesmo: primeiro eu digito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=MÍNIMO(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na célula desejada, clico e arrasto o mouse sobre o intervalo dos valores de vendas, fecho o parêntese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e aperto Enter.</a:t>
          </a:r>
        </a:p>
        <a:p>
          <a:endParaRPr lang="pt-BR" sz="1100"/>
        </a:p>
      </xdr:txBody>
    </xdr:sp>
    <xdr:clientData/>
  </xdr:twoCellAnchor>
  <xdr:twoCellAnchor>
    <xdr:from>
      <xdr:col>8</xdr:col>
      <xdr:colOff>50800</xdr:colOff>
      <xdr:row>0</xdr:row>
      <xdr:rowOff>120650</xdr:rowOff>
    </xdr:from>
    <xdr:to>
      <xdr:col>17</xdr:col>
      <xdr:colOff>393700</xdr:colOff>
      <xdr:row>11</xdr:row>
      <xdr:rowOff>171450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BB2A523-DF78-497B-8B0D-746CC36E4FC3}"/>
            </a:ext>
          </a:extLst>
        </xdr:cNvPr>
        <xdr:cNvSpPr txBox="1"/>
      </xdr:nvSpPr>
      <xdr:spPr>
        <a:xfrm>
          <a:off x="4927600" y="120650"/>
          <a:ext cx="5829300" cy="2076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/>
            <a:t>VENDEDOR DO MAIOR E MENOR VALOR VENDIDO</a:t>
          </a:r>
        </a:p>
        <a:p>
          <a:r>
            <a:rPr lang="pt-BR"/>
            <a:t>Para descobrir qual vendedor realizou a maior e a menor venda, eu utilizei a função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=PROCV</a:t>
          </a:r>
          <a:r>
            <a:rPr lang="pt-BR"/>
            <a:t>.</a:t>
          </a:r>
        </a:p>
        <a:p>
          <a:r>
            <a:rPr lang="pt-BR"/>
            <a:t>Para usar essa função:</a:t>
          </a:r>
        </a:p>
        <a:p>
          <a:pPr lvl="0"/>
          <a:r>
            <a:rPr lang="pt-BR"/>
            <a:t>Primeiro eu digito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=PROCV(</a:t>
          </a:r>
          <a:r>
            <a:rPr lang="pt-BR"/>
            <a:t> na célula onde quero mostrar o nome do vendedor.</a:t>
          </a:r>
        </a:p>
        <a:p>
          <a:pPr lvl="0"/>
          <a:r>
            <a:rPr lang="pt-BR"/>
            <a:t>Em seguida, clico na célula do valor que quero pesquisar (o maior ou menor valor encontrado).</a:t>
          </a:r>
        </a:p>
        <a:p>
          <a:pPr lvl="0"/>
          <a:r>
            <a:rPr lang="pt-BR"/>
            <a:t>Insiro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;</a:t>
          </a:r>
          <a:r>
            <a:rPr lang="pt-BR"/>
            <a:t> e seleciono a tabela onde estão as vendas e os vendedores (do valor da venda até a coluna do nome do vendedor).</a:t>
          </a:r>
        </a:p>
        <a:p>
          <a:pPr lvl="0"/>
          <a:r>
            <a:rPr lang="pt-BR"/>
            <a:t>Insiro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;</a:t>
          </a:r>
          <a:r>
            <a:rPr lang="pt-BR"/>
            <a:t> e digito o número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2</a:t>
          </a:r>
          <a:r>
            <a:rPr lang="pt-BR"/>
            <a:t> (pois o nome do vendedor é a segunda coluna da seleção).</a:t>
          </a:r>
        </a:p>
        <a:p>
          <a:pPr lvl="0"/>
          <a:r>
            <a:rPr lang="pt-BR"/>
            <a:t>Por fim, insiro </a:t>
          </a:r>
          <a:r>
            <a:rPr lang="pt-BR" sz="1100" b="1">
              <a:solidFill>
                <a:schemeClr val="dk1"/>
              </a:solidFill>
              <a:latin typeface="+mn-lt"/>
              <a:ea typeface="+mn-ea"/>
              <a:cs typeface="+mn-cs"/>
            </a:rPr>
            <a:t>;0)</a:t>
          </a:r>
          <a:r>
            <a:rPr lang="pt-BR"/>
            <a:t> *(ou </a:t>
          </a:r>
          <a:r>
            <a:rPr lang="pt-BR" sz="1100">
              <a:solidFill>
                <a:schemeClr val="dk1"/>
              </a:solidFill>
              <a:latin typeface="+mn-lt"/>
              <a:ea typeface="+mn-ea"/>
              <a:cs typeface="+mn-cs"/>
            </a:rPr>
            <a:t>;FALSO)</a:t>
          </a:r>
          <a:r>
            <a:rPr lang="pt-BR"/>
            <a:t>) para garantir uma busca exata, e aperto </a:t>
          </a:r>
          <a:r>
            <a:rPr lang="pt-BR" b="1"/>
            <a:t>Enter</a:t>
          </a:r>
          <a:r>
            <a:rPr lang="pt-BR"/>
            <a:t>.</a:t>
          </a:r>
        </a:p>
        <a:p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69850</xdr:colOff>
      <xdr:row>3</xdr:row>
      <xdr:rowOff>44450</xdr:rowOff>
    </xdr:from>
    <xdr:to>
      <xdr:col>16</xdr:col>
      <xdr:colOff>571500</xdr:colOff>
      <xdr:row>10</xdr:row>
      <xdr:rowOff>107950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B03FE6F9-CA8C-4B0F-A5B1-AA29E0C304CF}"/>
            </a:ext>
          </a:extLst>
        </xdr:cNvPr>
        <xdr:cNvSpPr txBox="1"/>
      </xdr:nvSpPr>
      <xdr:spPr>
        <a:xfrm>
          <a:off x="4946650" y="596900"/>
          <a:ext cx="5378450" cy="1352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Qual semana ocorreu o maior</a:t>
          </a:r>
          <a:r>
            <a:rPr lang="pt-BR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 o menor</a:t>
          </a:r>
          <a:r>
            <a:rPr lang="pt-B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valor vendido:</a:t>
          </a:r>
          <a:endParaRPr lang="pt-BR" sz="1400" b="1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Para descobrir em qual semana ocorreu o maior</a:t>
          </a:r>
          <a:r>
            <a:rPr lang="pt-BR" b="0" baseline="0">
              <a:latin typeface="Arial" panose="020B0604020202020204" pitchFamily="34" charset="0"/>
              <a:cs typeface="Arial" panose="020B0604020202020204" pitchFamily="34" charset="0"/>
            </a:rPr>
            <a:t> e o menor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valor vendido, eu utilizei a função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=PROCX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. Para usar essa função, primeiro eu digito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=PROCX(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na célula desejada. Seleciono a célula do valor procurado, insiro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;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, seleciono a coluna dos valores das vendas, insiro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;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e seleciono a coluna das semanas. Por fim, fecho o parêntese </a:t>
          </a:r>
          <a:r>
            <a:rPr lang="pt-BR" sz="1100" b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)</a:t>
          </a:r>
          <a:r>
            <a:rPr lang="pt-BR" b="0">
              <a:latin typeface="Arial" panose="020B0604020202020204" pitchFamily="34" charset="0"/>
              <a:cs typeface="Arial" panose="020B0604020202020204" pitchFamily="34" charset="0"/>
            </a:rPr>
            <a:t> e aperto Enter.</a:t>
          </a:r>
          <a:endParaRPr lang="pt-BR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165100</xdr:colOff>
      <xdr:row>0</xdr:row>
      <xdr:rowOff>146050</xdr:rowOff>
    </xdr:from>
    <xdr:to>
      <xdr:col>16</xdr:col>
      <xdr:colOff>304800</xdr:colOff>
      <xdr:row>10</xdr:row>
      <xdr:rowOff>88900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95FC412-2321-4535-877E-E0EEC8349901}"/>
            </a:ext>
          </a:extLst>
        </xdr:cNvPr>
        <xdr:cNvSpPr txBox="1"/>
      </xdr:nvSpPr>
      <xdr:spPr>
        <a:xfrm>
          <a:off x="5041900" y="146050"/>
          <a:ext cx="5016500" cy="1784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/>
            <a:t>Para identificar produtos descontinuados, usei a função </a:t>
          </a:r>
          <a:r>
            <a:rPr lang="pt-BR" sz="1800">
              <a:solidFill>
                <a:schemeClr val="dk1"/>
              </a:solidFill>
              <a:latin typeface="+mn-lt"/>
              <a:ea typeface="+mn-ea"/>
              <a:cs typeface="+mn-cs"/>
            </a:rPr>
            <a:t>=SE(B2&lt;=30; "Descontinuado"; "ok")</a:t>
          </a:r>
          <a:r>
            <a:rPr lang="pt-BR" sz="1800"/>
            <a:t>. Se as saídas do produto forem até 30 unidades, ele aparece como "Descontinuado"; caso contrário, recebe o status "ok".</a:t>
          </a:r>
        </a:p>
      </xdr:txBody>
    </xdr:sp>
    <xdr:clientData/>
  </xdr:twoCellAnchor>
  <xdr:oneCellAnchor>
    <xdr:from>
      <xdr:col>6</xdr:col>
      <xdr:colOff>44350</xdr:colOff>
      <xdr:row>0</xdr:row>
      <xdr:rowOff>164880</xdr:rowOff>
    </xdr:from>
    <xdr:ext cx="641880" cy="3569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Tinta 2">
              <a:extLst>
                <a:ext uri="{FF2B5EF4-FFF2-40B4-BE49-F238E27FC236}">
                  <a16:creationId xmlns:a16="http://schemas.microsoft.com/office/drawing/2014/main" id="{86186A43-C2AC-4C07-9707-4A408EDD2FD1}"/>
                </a:ext>
              </a:extLst>
            </xdr14:cNvPr>
            <xdr14:cNvContentPartPr/>
          </xdr14:nvContentPartPr>
          <xdr14:nvPr macro=""/>
          <xdr14:xfrm>
            <a:off x="8470800" y="164880"/>
            <a:ext cx="641880" cy="3569760"/>
          </xdr14:xfrm>
        </xdr:contentPart>
      </mc:Choice>
      <mc:Fallback xmlns="">
        <xdr:pic>
          <xdr:nvPicPr>
            <xdr:cNvPr id="3" name="Tinta 2">
              <a:extLst>
                <a:ext uri="{FF2B5EF4-FFF2-40B4-BE49-F238E27FC236}">
                  <a16:creationId xmlns:a16="http://schemas.microsoft.com/office/drawing/2014/main" id="{6BC1A187-7D3B-9EBF-4FFD-7FBC0432232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464680" y="158760"/>
              <a:ext cx="654120" cy="3582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2</xdr:row>
      <xdr:rowOff>120650</xdr:rowOff>
    </xdr:from>
    <xdr:to>
      <xdr:col>14</xdr:col>
      <xdr:colOff>495300</xdr:colOff>
      <xdr:row>12</xdr:row>
      <xdr:rowOff>31750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E4DD938F-F0B2-06B4-2598-4BB7EFB085B3}"/>
            </a:ext>
          </a:extLst>
        </xdr:cNvPr>
        <xdr:cNvSpPr txBox="1"/>
      </xdr:nvSpPr>
      <xdr:spPr>
        <a:xfrm>
          <a:off x="8566150" y="488950"/>
          <a:ext cx="4019550" cy="175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/>
            <a:t>TOTAL VENDIDO POR VENDEDOR</a:t>
          </a:r>
          <a:endParaRPr lang="pt-BR"/>
        </a:p>
        <a:p>
          <a:r>
            <a:rPr lang="pt-BR"/>
            <a:t>Para calcular o total de vendas acumulado de cada vendedor ao longo das semanas, eu utilizei a função =SOMASE. Primeiro, eu digito =SOMASE( na célula onde quero calcular o total. Em seguida, seleciono o intervalo onde estão os nomes dos vendedores na tabela principal (D2:D17). Depois, insiro ; e clico na célula com o nome do vendedor que quero somar. Por fim, insiro ; e seleciono o intervalo de valores das vendas na tabela principal (C2:C17), fechando o parêntese e apertando Enter.</a:t>
          </a:r>
        </a:p>
        <a:p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57150</xdr:colOff>
      <xdr:row>1</xdr:row>
      <xdr:rowOff>69850</xdr:rowOff>
    </xdr:from>
    <xdr:to>
      <xdr:col>19</xdr:col>
      <xdr:colOff>190500</xdr:colOff>
      <xdr:row>9</xdr:row>
      <xdr:rowOff>146050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F03F7ABE-F8BF-4B6C-9938-086BD9078FC3}"/>
            </a:ext>
          </a:extLst>
        </xdr:cNvPr>
        <xdr:cNvSpPr txBox="1"/>
      </xdr:nvSpPr>
      <xdr:spPr>
        <a:xfrm>
          <a:off x="6762750" y="254000"/>
          <a:ext cx="5010150" cy="154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b="1"/>
            <a:t>TOTAL DE PEDIDOS POR CLIENTE</a:t>
          </a:r>
          <a:endParaRPr lang="pt-BR"/>
        </a:p>
        <a:p>
          <a:r>
            <a:rPr lang="pt-BR"/>
            <a:t>Para contar quantos pedidos foram realizados por cada cliente na tabela, eu utilizei a função =CONT.SE. Primeiro, eu digito =CONT.SE( na célula onde quero o resultado. Em seguida, seleciono o intervalo onde estão os nomes dos clientes na tabela principal (D2:D21). Depois, insiro ; e clico na célula que contém o nome do cliente que quero contar (I2). Por fim, fecho o parêntese e aperto Enter, arrastando a fórmula para as demais células para contar os pedidos dos outros clientes.</a:t>
          </a:r>
        </a:p>
        <a:p>
          <a:endParaRPr lang="pt-B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0</xdr:row>
      <xdr:rowOff>158750</xdr:rowOff>
    </xdr:from>
    <xdr:to>
      <xdr:col>17</xdr:col>
      <xdr:colOff>50800</xdr:colOff>
      <xdr:row>18</xdr:row>
      <xdr:rowOff>95250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3609B18-C1A9-4EA6-B6E2-183B285B4390}"/>
            </a:ext>
          </a:extLst>
        </xdr:cNvPr>
        <xdr:cNvSpPr txBox="1"/>
      </xdr:nvSpPr>
      <xdr:spPr>
        <a:xfrm>
          <a:off x="5054600" y="158750"/>
          <a:ext cx="5359400" cy="325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1. QTD INSCRITOS NA PALESTRA</a:t>
          </a:r>
        </a:p>
        <a:p>
          <a:pPr rt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saber a quantidade de estudantes inscritos na palestra, eu utilizei a função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=CONTE.VALORES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na coluna de inscrição. Ela conta todas as células que contêm algum texto ou valor (no caso, os marcados com "OK").</a:t>
          </a:r>
        </a:p>
        <a:p>
          <a:pPr rtl="0"/>
          <a:b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2. QTD NÃO INSCRITOS</a:t>
          </a:r>
        </a:p>
        <a:p>
          <a:pPr rt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saber a quantidade de estudantes não inscritos, eu utilizei a função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=CONTAR.VAZIO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na coluna de inscrição. Essa função conta apenas as células que estão em branco, identificando quem ainda não se inscreveu.</a:t>
          </a:r>
        </a:p>
        <a:p>
          <a:pPr rtl="0"/>
          <a:b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</a:br>
          <a:endParaRPr lang="pt-BR" sz="11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rtl="0"/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3. % INSCRITOS NA PALESTRA</a:t>
          </a:r>
        </a:p>
        <a:p>
          <a:pPr rtl="0"/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Para calcular a porcentagem de alunos inscritos em relação ao total da classe, eu dividi a quantidade de inscritos pela soma total de alunos. Digitei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=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selecionei a célula com a quantidade de inscritos, coloquei a barra de divisão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dividi pela soma da quantidade de inscritos com a de não inscritos </a:t>
          </a:r>
          <a:r>
            <a:rPr lang="pt-BR" sz="11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(13 + 7)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Por fim, formatei a célula como Porcentagem para obter o resultado de </a:t>
          </a:r>
          <a:r>
            <a:rPr lang="pt-BR" sz="11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65%</a:t>
          </a:r>
          <a:r>
            <a:rPr lang="pt-BR" sz="11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</a:t>
          </a:r>
        </a:p>
        <a:p>
          <a:endParaRPr lang="pt-BR" sz="1100"/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17T00:32:06.32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24575,'45'0'0,"50"7"0,-73-4 0,-1 1 0,0 1 0,0 1 0,29 13 0,21 15 0,71 45 0,59 52 0,-97-60 0,-86-58 0,0 2 0,-1 1 0,-1 0 0,22 28 0,-3-3 0,271 307 0,-279-318 0,238 285 0,-254-299 0,0 2 0,-1-1 0,-1 1 0,0 1 0,-2 0 0,0 0 0,-1 0 0,-1 1 0,4 36 0,-3 9 0,-5 110 0,-2-88 0,0 56 0,3 163 0,0-269 0,2-1 0,16 66 0,33 68 0,-42-137 0,-2 1 0,-1 0 0,-2 0 0,-1 1 0,1 67 0,-7-76 0,11 292 0,0 58 0,-6-64 0,4-210 0,-5 0 0,-10 108 0,-23 197 0,26-374 0,-14 60 0,1-5 0,-1 90 0,6 233 0,12-402 0,-5 163 0,2-147 0,-1-1 0,-1 1 0,-1-1 0,-16 44 0,-3-3 0,3 1 0,4 1 0,2 1 0,3 1 0,3 0 0,3 0 0,3 104 0,5-92 0,-1 107 0,-8-118 0,-1 11 0,11-31 0,2 0 0,16 81 0,4 23 0,-19-73 0,-2-32 0,9 51 0,-10-82 0,2 0 0,1 0 0,0-1 0,1 1 0,1-1 0,0-1 0,14 23 0,-20-37 0,1 0 0,-1 1 0,1-1 0,-1 1 0,0-1 0,0 1 0,0 0 0,-1-1 0,1 1 0,-1 0 0,1 0 0,-1-1 0,0 1 0,0 0 0,0 0 0,0-1 0,-1 1 0,1 0 0,-1 0 0,0-1 0,1 1 0,-1 0 0,0-1 0,-2 4 0,1-3 0,0-1 0,0 1 0,-1 0 0,1-1 0,0 1 0,-1-1 0,0 0 0,1 0 0,-1 0 0,0 0 0,0-1 0,0 1 0,0-1 0,0 1 0,-1-1 0,1 0 0,0 0 0,-1-1 0,-4 1 0,-4 0 0,0 1 0,0 0 0,0 1 0,1 0 0,-16 6 0,24-8 0,0 1 0,-1 0 0,1-1 0,0 1 0,0 0 0,1 0 0,-1 1 0,0-1 0,1 1 0,-1-1 0,1 1 0,0 0 0,0 0 0,0 0 0,0 0 0,1 0 0,-1 0 0,1 0 0,0 1 0,0-1 0,0 0 0,-1 8 0,2 8 0,0 1 0,2-1 0,0 0 0,2 0 0,0 0 0,10 29 0,-1-1 0,-4-7 0,-1 0 0,-2 0 0,-2 1 0,-1 44 0,-6 760 0,4-549 0,-4-245 0,-12 76 0,7-78 0,-2 88 0,10-132 0,0-1 0,0 0 0,0 1 0,-1-1 0,1 1 0,-1-1 0,0 0 0,0 1 0,-3 6 0,2-9 0,0 0 0,1 0 0,-1 0 0,0 0 0,0 0 0,0 0 0,-1 0 0,1-1 0,0 1 0,-1-1 0,1 1 0,-1-1 0,1 0 0,-1 0 0,0 0 0,-4 0 0,-25 8 0,-1-3 0,0 0 0,-45 1 0,-103-8 0,76 0 0,67 1-119,-64-2 370,88 1-550,0-1-1,-1 0 1,1-2-1,-26-8 1,27 6-6527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3DE5-5A28-4F2E-B2E2-5D8CA1A33959}">
  <sheetPr>
    <tabColor rgb="FF00B0F0"/>
  </sheetPr>
  <dimension ref="A1:J21"/>
  <sheetViews>
    <sheetView workbookViewId="0">
      <selection activeCell="I8" sqref="I8"/>
    </sheetView>
  </sheetViews>
  <sheetFormatPr defaultRowHeight="14.5" x14ac:dyDescent="0.35"/>
  <cols>
    <col min="1" max="2" width="14" customWidth="1"/>
    <col min="3" max="3" width="13" customWidth="1"/>
    <col min="4" max="4" width="12" customWidth="1"/>
    <col min="5" max="6" width="16" customWidth="1"/>
    <col min="9" max="9" width="27.453125" style="18" customWidth="1"/>
  </cols>
  <sheetData>
    <row r="1" spans="1:10" x14ac:dyDescent="0.35">
      <c r="A1" s="31" t="s">
        <v>0</v>
      </c>
      <c r="B1" s="31" t="s">
        <v>100</v>
      </c>
      <c r="C1" s="31" t="s">
        <v>99</v>
      </c>
      <c r="D1" s="31" t="s">
        <v>98</v>
      </c>
      <c r="E1" s="31" t="s">
        <v>97</v>
      </c>
      <c r="F1" s="31" t="s">
        <v>96</v>
      </c>
    </row>
    <row r="2" spans="1:10" x14ac:dyDescent="0.35">
      <c r="A2" s="26" t="s">
        <v>95</v>
      </c>
      <c r="B2" s="26" t="s">
        <v>94</v>
      </c>
      <c r="C2" s="25" t="s">
        <v>16</v>
      </c>
      <c r="D2" s="25" t="s">
        <v>93</v>
      </c>
      <c r="E2" s="24">
        <v>9</v>
      </c>
      <c r="F2" s="23">
        <v>35.26</v>
      </c>
      <c r="I2" s="28" t="s">
        <v>92</v>
      </c>
    </row>
    <row r="3" spans="1:10" x14ac:dyDescent="0.35">
      <c r="A3" s="22" t="s">
        <v>91</v>
      </c>
      <c r="B3" s="22" t="s">
        <v>90</v>
      </c>
      <c r="C3" s="21" t="s">
        <v>89</v>
      </c>
      <c r="D3" s="21" t="s">
        <v>88</v>
      </c>
      <c r="E3" s="20">
        <v>2</v>
      </c>
      <c r="F3" s="19">
        <v>269.44</v>
      </c>
      <c r="I3" s="27">
        <f>SUM(F2:F21)</f>
        <v>3021.87</v>
      </c>
    </row>
    <row r="4" spans="1:10" x14ac:dyDescent="0.35">
      <c r="A4" s="26" t="s">
        <v>87</v>
      </c>
      <c r="B4" s="26" t="s">
        <v>86</v>
      </c>
      <c r="C4" s="25" t="s">
        <v>61</v>
      </c>
      <c r="D4" s="25" t="s">
        <v>85</v>
      </c>
      <c r="E4" s="24">
        <v>4</v>
      </c>
      <c r="F4" s="23">
        <v>39.96</v>
      </c>
    </row>
    <row r="5" spans="1:10" x14ac:dyDescent="0.35">
      <c r="A5" s="22" t="s">
        <v>84</v>
      </c>
      <c r="B5" s="22" t="s">
        <v>83</v>
      </c>
      <c r="C5" s="21" t="s">
        <v>82</v>
      </c>
      <c r="D5" s="21" t="s">
        <v>81</v>
      </c>
      <c r="E5" s="20">
        <v>4</v>
      </c>
      <c r="F5" s="19">
        <v>181.28</v>
      </c>
    </row>
    <row r="6" spans="1:10" x14ac:dyDescent="0.35">
      <c r="A6" s="26" t="s">
        <v>80</v>
      </c>
      <c r="B6" s="26" t="s">
        <v>79</v>
      </c>
      <c r="C6" s="25" t="s">
        <v>78</v>
      </c>
      <c r="D6" s="25" t="s">
        <v>77</v>
      </c>
      <c r="E6" s="24">
        <v>6</v>
      </c>
      <c r="F6" s="23">
        <v>164.32</v>
      </c>
      <c r="I6" s="28" t="s">
        <v>76</v>
      </c>
    </row>
    <row r="7" spans="1:10" x14ac:dyDescent="0.35">
      <c r="A7" s="22" t="s">
        <v>75</v>
      </c>
      <c r="B7" s="22" t="s">
        <v>74</v>
      </c>
      <c r="C7" s="21" t="s">
        <v>73</v>
      </c>
      <c r="D7" s="21" t="s">
        <v>72</v>
      </c>
      <c r="E7" s="20">
        <v>7</v>
      </c>
      <c r="F7" s="19">
        <v>68.92</v>
      </c>
      <c r="I7" s="30">
        <f>COUNTA(B2:B21)</f>
        <v>20</v>
      </c>
    </row>
    <row r="8" spans="1:10" x14ac:dyDescent="0.35">
      <c r="A8" s="26" t="s">
        <v>71</v>
      </c>
      <c r="B8" s="26" t="s">
        <v>70</v>
      </c>
      <c r="C8" s="25" t="s">
        <v>69</v>
      </c>
      <c r="D8" s="25" t="s">
        <v>68</v>
      </c>
      <c r="E8" s="24">
        <v>9</v>
      </c>
      <c r="F8" s="23">
        <v>41.89</v>
      </c>
      <c r="J8" s="29"/>
    </row>
    <row r="9" spans="1:10" x14ac:dyDescent="0.35">
      <c r="A9" s="22" t="s">
        <v>67</v>
      </c>
      <c r="B9" s="22" t="s">
        <v>66</v>
      </c>
      <c r="C9" s="21" t="s">
        <v>65</v>
      </c>
      <c r="D9" s="21" t="s">
        <v>64</v>
      </c>
      <c r="E9" s="20">
        <v>8</v>
      </c>
      <c r="F9" s="19">
        <v>152.08000000000001</v>
      </c>
    </row>
    <row r="10" spans="1:10" x14ac:dyDescent="0.35">
      <c r="A10" s="26" t="s">
        <v>63</v>
      </c>
      <c r="B10" s="26" t="s">
        <v>62</v>
      </c>
      <c r="C10" s="25" t="s">
        <v>61</v>
      </c>
      <c r="D10" s="25" t="s">
        <v>60</v>
      </c>
      <c r="E10" s="24">
        <v>7</v>
      </c>
      <c r="F10" s="23">
        <v>95.57</v>
      </c>
    </row>
    <row r="11" spans="1:10" x14ac:dyDescent="0.35">
      <c r="A11" s="22" t="s">
        <v>59</v>
      </c>
      <c r="B11" s="22" t="s">
        <v>58</v>
      </c>
      <c r="C11" s="21" t="s">
        <v>57</v>
      </c>
      <c r="D11" s="21" t="s">
        <v>56</v>
      </c>
      <c r="E11" s="20">
        <v>2</v>
      </c>
      <c r="F11" s="19">
        <v>248.78</v>
      </c>
    </row>
    <row r="12" spans="1:10" x14ac:dyDescent="0.35">
      <c r="A12" s="26" t="s">
        <v>55</v>
      </c>
      <c r="B12" s="26" t="s">
        <v>54</v>
      </c>
      <c r="C12" s="25" t="s">
        <v>53</v>
      </c>
      <c r="D12" s="25" t="s">
        <v>52</v>
      </c>
      <c r="E12" s="24">
        <v>2</v>
      </c>
      <c r="F12" s="23">
        <v>250.88</v>
      </c>
      <c r="I12" s="28" t="s">
        <v>51</v>
      </c>
    </row>
    <row r="13" spans="1:10" x14ac:dyDescent="0.35">
      <c r="A13" s="22" t="s">
        <v>50</v>
      </c>
      <c r="B13" s="22" t="s">
        <v>49</v>
      </c>
      <c r="C13" s="21" t="s">
        <v>48</v>
      </c>
      <c r="D13" s="21" t="s">
        <v>47</v>
      </c>
      <c r="E13" s="20">
        <v>10</v>
      </c>
      <c r="F13" s="19">
        <v>289.33999999999997</v>
      </c>
      <c r="I13" s="27">
        <f>AVERAGE(F2:F21)</f>
        <v>151.09350000000001</v>
      </c>
    </row>
    <row r="14" spans="1:10" x14ac:dyDescent="0.35">
      <c r="A14" s="26" t="s">
        <v>46</v>
      </c>
      <c r="B14" s="26" t="s">
        <v>45</v>
      </c>
      <c r="C14" s="25" t="s">
        <v>44</v>
      </c>
      <c r="D14" s="25" t="s">
        <v>43</v>
      </c>
      <c r="E14" s="24">
        <v>4</v>
      </c>
      <c r="F14" s="23">
        <v>120.42</v>
      </c>
    </row>
    <row r="15" spans="1:10" x14ac:dyDescent="0.35">
      <c r="A15" s="22" t="s">
        <v>42</v>
      </c>
      <c r="B15" s="22" t="s">
        <v>41</v>
      </c>
      <c r="C15" s="21" t="s">
        <v>40</v>
      </c>
      <c r="D15" s="21" t="s">
        <v>39</v>
      </c>
      <c r="E15" s="20">
        <v>7</v>
      </c>
      <c r="F15" s="19">
        <v>54.48</v>
      </c>
    </row>
    <row r="16" spans="1:10" x14ac:dyDescent="0.35">
      <c r="A16" s="26" t="s">
        <v>38</v>
      </c>
      <c r="B16" s="26" t="s">
        <v>37</v>
      </c>
      <c r="C16" s="25" t="s">
        <v>36</v>
      </c>
      <c r="D16" s="25" t="s">
        <v>35</v>
      </c>
      <c r="E16" s="24">
        <v>3</v>
      </c>
      <c r="F16" s="23">
        <v>212.86</v>
      </c>
    </row>
    <row r="17" spans="1:6" x14ac:dyDescent="0.35">
      <c r="A17" s="22" t="s">
        <v>34</v>
      </c>
      <c r="B17" s="22" t="s">
        <v>33</v>
      </c>
      <c r="C17" s="21" t="s">
        <v>32</v>
      </c>
      <c r="D17" s="21" t="s">
        <v>31</v>
      </c>
      <c r="E17" s="20">
        <v>1</v>
      </c>
      <c r="F17" s="19">
        <v>103.77</v>
      </c>
    </row>
    <row r="18" spans="1:6" x14ac:dyDescent="0.35">
      <c r="A18" s="26" t="s">
        <v>30</v>
      </c>
      <c r="B18" s="26" t="s">
        <v>29</v>
      </c>
      <c r="C18" s="25" t="s">
        <v>28</v>
      </c>
      <c r="D18" s="25" t="s">
        <v>27</v>
      </c>
      <c r="E18" s="24">
        <v>2</v>
      </c>
      <c r="F18" s="23">
        <v>141.41999999999999</v>
      </c>
    </row>
    <row r="19" spans="1:6" x14ac:dyDescent="0.35">
      <c r="A19" s="22" t="s">
        <v>26</v>
      </c>
      <c r="B19" s="22" t="s">
        <v>25</v>
      </c>
      <c r="C19" s="21" t="s">
        <v>24</v>
      </c>
      <c r="D19" s="21" t="s">
        <v>23</v>
      </c>
      <c r="E19" s="20">
        <v>7</v>
      </c>
      <c r="F19" s="19">
        <v>262.83</v>
      </c>
    </row>
    <row r="20" spans="1:6" x14ac:dyDescent="0.35">
      <c r="A20" s="26" t="s">
        <v>22</v>
      </c>
      <c r="B20" s="26" t="s">
        <v>21</v>
      </c>
      <c r="C20" s="25" t="s">
        <v>20</v>
      </c>
      <c r="D20" s="25" t="s">
        <v>19</v>
      </c>
      <c r="E20" s="24">
        <v>3</v>
      </c>
      <c r="F20" s="23">
        <v>213.25</v>
      </c>
    </row>
    <row r="21" spans="1:6" x14ac:dyDescent="0.35">
      <c r="A21" s="22" t="s">
        <v>18</v>
      </c>
      <c r="B21" s="22" t="s">
        <v>17</v>
      </c>
      <c r="C21" s="21" t="s">
        <v>16</v>
      </c>
      <c r="D21" s="21" t="s">
        <v>15</v>
      </c>
      <c r="E21" s="20">
        <v>7</v>
      </c>
      <c r="F21" s="19">
        <v>75.12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E105-BBC7-4838-9D31-99117F6AB839}">
  <sheetPr>
    <tabColor rgb="FF92D050"/>
  </sheetPr>
  <dimension ref="B1:H17"/>
  <sheetViews>
    <sheetView workbookViewId="0">
      <selection activeCell="M15" sqref="M15"/>
    </sheetView>
  </sheetViews>
  <sheetFormatPr defaultRowHeight="14.5" x14ac:dyDescent="0.35"/>
  <cols>
    <col min="1" max="1" width="3" customWidth="1"/>
    <col min="2" max="2" width="16" customWidth="1"/>
    <col min="3" max="3" width="18" customWidth="1"/>
    <col min="4" max="4" width="25" customWidth="1"/>
    <col min="5" max="5" width="5" customWidth="1"/>
    <col min="6" max="6" width="23.1796875" customWidth="1"/>
    <col min="7" max="7" width="15" customWidth="1"/>
    <col min="8" max="8" width="11.1796875" customWidth="1"/>
  </cols>
  <sheetData>
    <row r="1" spans="2:8" x14ac:dyDescent="0.35">
      <c r="B1" s="13" t="s">
        <v>0</v>
      </c>
      <c r="C1" s="13" t="s">
        <v>1</v>
      </c>
      <c r="D1" s="13" t="s">
        <v>2</v>
      </c>
      <c r="F1" s="13" t="s">
        <v>13</v>
      </c>
      <c r="G1" s="12" t="s">
        <v>2</v>
      </c>
      <c r="H1" s="11"/>
    </row>
    <row r="2" spans="2:8" x14ac:dyDescent="0.35">
      <c r="B2" s="2" t="s">
        <v>4</v>
      </c>
      <c r="C2" s="3">
        <v>31964.82</v>
      </c>
      <c r="D2" s="4" t="s">
        <v>5</v>
      </c>
      <c r="F2" s="14">
        <f>MAX(C2:C17)</f>
        <v>44380.08</v>
      </c>
      <c r="G2" s="9" t="str">
        <f>VLOOKUP(F2,C2:D17,2,)</f>
        <v>Leila Vasconcelos</v>
      </c>
      <c r="H2" s="8"/>
    </row>
    <row r="3" spans="2:8" x14ac:dyDescent="0.35">
      <c r="B3" s="2" t="s">
        <v>4</v>
      </c>
      <c r="C3" s="3">
        <v>28422.18</v>
      </c>
      <c r="D3" s="4" t="s">
        <v>6</v>
      </c>
    </row>
    <row r="4" spans="2:8" x14ac:dyDescent="0.35">
      <c r="B4" s="2" t="s">
        <v>4</v>
      </c>
      <c r="C4" s="3">
        <v>26939.06</v>
      </c>
      <c r="D4" s="4" t="s">
        <v>7</v>
      </c>
      <c r="F4" s="13" t="s">
        <v>12</v>
      </c>
      <c r="G4" s="12" t="s">
        <v>2</v>
      </c>
      <c r="H4" s="11" t="s">
        <v>2</v>
      </c>
    </row>
    <row r="5" spans="2:8" x14ac:dyDescent="0.35">
      <c r="B5" s="2" t="s">
        <v>4</v>
      </c>
      <c r="C5" s="3">
        <v>13747.51</v>
      </c>
      <c r="D5" s="4" t="s">
        <v>8</v>
      </c>
      <c r="F5" s="10">
        <f>MIN(C2:C17)</f>
        <v>13747.51</v>
      </c>
      <c r="G5" s="9" t="str">
        <f>VLOOKUP(F5,C2:D17,2,)</f>
        <v>Maria Müller</v>
      </c>
      <c r="H5" s="8"/>
    </row>
    <row r="6" spans="2:8" x14ac:dyDescent="0.35">
      <c r="B6" s="5" t="s">
        <v>9</v>
      </c>
      <c r="C6" s="6">
        <v>18098.61</v>
      </c>
      <c r="D6" s="7" t="s">
        <v>5</v>
      </c>
    </row>
    <row r="7" spans="2:8" x14ac:dyDescent="0.35">
      <c r="B7" s="5" t="s">
        <v>9</v>
      </c>
      <c r="C7" s="6">
        <v>30244.69</v>
      </c>
      <c r="D7" s="7" t="s">
        <v>6</v>
      </c>
    </row>
    <row r="8" spans="2:8" x14ac:dyDescent="0.35">
      <c r="B8" s="5" t="s">
        <v>9</v>
      </c>
      <c r="C8" s="6">
        <v>35552.65</v>
      </c>
      <c r="D8" s="7" t="s">
        <v>7</v>
      </c>
    </row>
    <row r="9" spans="2:8" x14ac:dyDescent="0.35">
      <c r="B9" s="5" t="s">
        <v>9</v>
      </c>
      <c r="C9" s="6">
        <v>33198.25</v>
      </c>
      <c r="D9" s="7" t="s">
        <v>8</v>
      </c>
    </row>
    <row r="10" spans="2:8" x14ac:dyDescent="0.35">
      <c r="B10" s="2" t="s">
        <v>10</v>
      </c>
      <c r="C10" s="3">
        <v>19949.080000000002</v>
      </c>
      <c r="D10" s="4" t="s">
        <v>5</v>
      </c>
    </row>
    <row r="11" spans="2:8" x14ac:dyDescent="0.35">
      <c r="B11" s="2" t="s">
        <v>10</v>
      </c>
      <c r="C11" s="3">
        <v>44380.08</v>
      </c>
      <c r="D11" s="4" t="s">
        <v>6</v>
      </c>
    </row>
    <row r="12" spans="2:8" x14ac:dyDescent="0.35">
      <c r="B12" s="2" t="s">
        <v>10</v>
      </c>
      <c r="C12" s="3">
        <v>31382.79</v>
      </c>
      <c r="D12" s="4" t="s">
        <v>7</v>
      </c>
    </row>
    <row r="13" spans="2:8" x14ac:dyDescent="0.35">
      <c r="B13" s="2" t="s">
        <v>10</v>
      </c>
      <c r="C13" s="3">
        <v>40946.949999999997</v>
      </c>
      <c r="D13" s="4" t="s">
        <v>8</v>
      </c>
    </row>
    <row r="14" spans="2:8" x14ac:dyDescent="0.35">
      <c r="B14" s="5" t="s">
        <v>11</v>
      </c>
      <c r="C14" s="6">
        <v>18522.93</v>
      </c>
      <c r="D14" s="7" t="s">
        <v>5</v>
      </c>
    </row>
    <row r="15" spans="2:8" x14ac:dyDescent="0.35">
      <c r="B15" s="5" t="s">
        <v>11</v>
      </c>
      <c r="C15" s="6">
        <v>29998.1</v>
      </c>
      <c r="D15" s="7" t="s">
        <v>6</v>
      </c>
    </row>
    <row r="16" spans="2:8" x14ac:dyDescent="0.35">
      <c r="B16" s="5" t="s">
        <v>11</v>
      </c>
      <c r="C16" s="6">
        <v>19269.25</v>
      </c>
      <c r="D16" s="7" t="s">
        <v>7</v>
      </c>
    </row>
    <row r="17" spans="2:4" x14ac:dyDescent="0.35">
      <c r="B17" s="5" t="s">
        <v>11</v>
      </c>
      <c r="C17" s="6">
        <v>21907.39</v>
      </c>
      <c r="D17" s="7" t="s">
        <v>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E07B3-A0BD-49B8-A26B-6D8DE9275196}">
  <sheetPr>
    <tabColor rgb="FFFF0000"/>
  </sheetPr>
  <dimension ref="B1:H17"/>
  <sheetViews>
    <sheetView workbookViewId="0">
      <selection activeCell="H7" sqref="H7"/>
    </sheetView>
  </sheetViews>
  <sheetFormatPr defaultRowHeight="14.5" x14ac:dyDescent="0.35"/>
  <cols>
    <col min="1" max="1" width="3" customWidth="1"/>
    <col min="2" max="2" width="16" customWidth="1"/>
    <col min="3" max="3" width="18" customWidth="1"/>
    <col min="4" max="4" width="25" customWidth="1"/>
    <col min="5" max="5" width="15" customWidth="1"/>
    <col min="6" max="6" width="23.1796875" customWidth="1"/>
    <col min="7" max="7" width="24" customWidth="1"/>
    <col min="8" max="8" width="11.1796875" customWidth="1"/>
  </cols>
  <sheetData>
    <row r="1" spans="2:8" x14ac:dyDescent="0.35">
      <c r="B1" s="13" t="s">
        <v>0</v>
      </c>
      <c r="C1" s="13" t="s">
        <v>1</v>
      </c>
      <c r="D1" s="13" t="s">
        <v>2</v>
      </c>
      <c r="E1" s="17"/>
      <c r="F1" s="13" t="s">
        <v>13</v>
      </c>
      <c r="G1" s="12" t="s">
        <v>14</v>
      </c>
      <c r="H1" s="11"/>
    </row>
    <row r="2" spans="2:8" x14ac:dyDescent="0.35">
      <c r="B2" s="2" t="s">
        <v>4</v>
      </c>
      <c r="C2" s="3">
        <v>31964.82</v>
      </c>
      <c r="D2" s="4" t="s">
        <v>5</v>
      </c>
      <c r="E2" s="16"/>
      <c r="F2" s="14">
        <f>MAX(C2:C17)</f>
        <v>44380.08</v>
      </c>
      <c r="G2" s="15" t="str">
        <f>_xlfn.XLOOKUP(F2,C2:C17,B2:B17)</f>
        <v>Semana 03</v>
      </c>
      <c r="H2" s="8"/>
    </row>
    <row r="3" spans="2:8" x14ac:dyDescent="0.35">
      <c r="B3" s="2" t="s">
        <v>4</v>
      </c>
      <c r="C3" s="3">
        <v>28422.18</v>
      </c>
      <c r="D3" s="4" t="s">
        <v>6</v>
      </c>
    </row>
    <row r="4" spans="2:8" x14ac:dyDescent="0.35">
      <c r="B4" s="2" t="s">
        <v>4</v>
      </c>
      <c r="C4" s="3">
        <v>26939.06</v>
      </c>
      <c r="D4" s="4" t="s">
        <v>7</v>
      </c>
      <c r="E4" s="17"/>
      <c r="F4" s="13" t="s">
        <v>12</v>
      </c>
      <c r="G4" s="12" t="s">
        <v>14</v>
      </c>
      <c r="H4" s="11" t="s">
        <v>2</v>
      </c>
    </row>
    <row r="5" spans="2:8" x14ac:dyDescent="0.35">
      <c r="B5" s="2" t="s">
        <v>4</v>
      </c>
      <c r="C5" s="3">
        <v>13747.51</v>
      </c>
      <c r="D5" s="4" t="s">
        <v>8</v>
      </c>
      <c r="E5" s="16"/>
      <c r="F5" s="10">
        <f>MIN(C2:C17)</f>
        <v>13747.51</v>
      </c>
      <c r="G5" s="15" t="str">
        <f>_xlfn.XLOOKUP(F5,C2:C17,B2:B17)</f>
        <v>Semana 01</v>
      </c>
      <c r="H5" s="8"/>
    </row>
    <row r="6" spans="2:8" x14ac:dyDescent="0.35">
      <c r="B6" s="5" t="s">
        <v>9</v>
      </c>
      <c r="C6" s="6">
        <v>18098.61</v>
      </c>
      <c r="D6" s="7" t="s">
        <v>5</v>
      </c>
    </row>
    <row r="7" spans="2:8" x14ac:dyDescent="0.35">
      <c r="B7" s="5" t="s">
        <v>9</v>
      </c>
      <c r="C7" s="6">
        <v>30244.69</v>
      </c>
      <c r="D7" s="7" t="s">
        <v>6</v>
      </c>
    </row>
    <row r="8" spans="2:8" x14ac:dyDescent="0.35">
      <c r="B8" s="5" t="s">
        <v>9</v>
      </c>
      <c r="C8" s="6">
        <v>35552.65</v>
      </c>
      <c r="D8" s="7" t="s">
        <v>7</v>
      </c>
    </row>
    <row r="9" spans="2:8" x14ac:dyDescent="0.35">
      <c r="B9" s="5" t="s">
        <v>9</v>
      </c>
      <c r="C9" s="6">
        <v>33198.25</v>
      </c>
      <c r="D9" s="7" t="s">
        <v>8</v>
      </c>
    </row>
    <row r="10" spans="2:8" x14ac:dyDescent="0.35">
      <c r="B10" s="2" t="s">
        <v>10</v>
      </c>
      <c r="C10" s="3">
        <v>19949.080000000002</v>
      </c>
      <c r="D10" s="4" t="s">
        <v>5</v>
      </c>
    </row>
    <row r="11" spans="2:8" x14ac:dyDescent="0.35">
      <c r="B11" s="2" t="s">
        <v>10</v>
      </c>
      <c r="C11" s="3">
        <v>44380.08</v>
      </c>
      <c r="D11" s="4" t="s">
        <v>6</v>
      </c>
    </row>
    <row r="12" spans="2:8" x14ac:dyDescent="0.35">
      <c r="B12" s="2" t="s">
        <v>10</v>
      </c>
      <c r="C12" s="3">
        <v>31382.79</v>
      </c>
      <c r="D12" s="4" t="s">
        <v>7</v>
      </c>
    </row>
    <row r="13" spans="2:8" x14ac:dyDescent="0.35">
      <c r="B13" s="2" t="s">
        <v>10</v>
      </c>
      <c r="C13" s="3">
        <v>40946.949999999997</v>
      </c>
      <c r="D13" s="4" t="s">
        <v>8</v>
      </c>
    </row>
    <row r="14" spans="2:8" x14ac:dyDescent="0.35">
      <c r="B14" s="5" t="s">
        <v>11</v>
      </c>
      <c r="C14" s="6">
        <v>18522.93</v>
      </c>
      <c r="D14" s="7" t="s">
        <v>5</v>
      </c>
    </row>
    <row r="15" spans="2:8" x14ac:dyDescent="0.35">
      <c r="B15" s="5" t="s">
        <v>11</v>
      </c>
      <c r="C15" s="6">
        <v>29998.1</v>
      </c>
      <c r="D15" s="7" t="s">
        <v>6</v>
      </c>
    </row>
    <row r="16" spans="2:8" x14ac:dyDescent="0.35">
      <c r="B16" s="5" t="s">
        <v>11</v>
      </c>
      <c r="C16" s="6">
        <v>19269.25</v>
      </c>
      <c r="D16" s="7" t="s">
        <v>7</v>
      </c>
    </row>
    <row r="17" spans="2:4" x14ac:dyDescent="0.35">
      <c r="B17" s="5" t="s">
        <v>11</v>
      </c>
      <c r="C17" s="6">
        <v>21907.39</v>
      </c>
      <c r="D17" s="7" t="s">
        <v>8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0437D-5971-4932-B8F3-3211C838B120}">
  <sheetPr>
    <tabColor rgb="FFFFC000"/>
  </sheetPr>
  <dimension ref="A1:F20"/>
  <sheetViews>
    <sheetView tabSelected="1" workbookViewId="0">
      <selection activeCell="C16" sqref="C16"/>
    </sheetView>
  </sheetViews>
  <sheetFormatPr defaultRowHeight="14.5" x14ac:dyDescent="0.35"/>
  <cols>
    <col min="1" max="1" width="14" customWidth="1"/>
    <col min="2" max="2" width="12" customWidth="1"/>
    <col min="3" max="3" width="35" customWidth="1"/>
    <col min="4" max="4" width="16" customWidth="1"/>
    <col min="5" max="5" width="12" customWidth="1"/>
    <col min="6" max="6" width="31.6328125" customWidth="1"/>
  </cols>
  <sheetData>
    <row r="1" spans="1:6" x14ac:dyDescent="0.35">
      <c r="A1" s="44" t="s">
        <v>0</v>
      </c>
      <c r="B1" s="44" t="s">
        <v>136</v>
      </c>
      <c r="C1" s="44" t="s">
        <v>98</v>
      </c>
      <c r="D1" s="44" t="s">
        <v>135</v>
      </c>
      <c r="E1" s="44" t="s">
        <v>134</v>
      </c>
      <c r="F1" s="44" t="s">
        <v>133</v>
      </c>
    </row>
    <row r="2" spans="1:6" x14ac:dyDescent="0.35">
      <c r="A2" s="43" t="s">
        <v>114</v>
      </c>
      <c r="B2" s="43">
        <v>144</v>
      </c>
      <c r="C2" s="4" t="s">
        <v>132</v>
      </c>
      <c r="D2" s="3">
        <v>109.9</v>
      </c>
      <c r="E2" s="42">
        <v>8331</v>
      </c>
      <c r="F2" s="2" t="str">
        <f>IF(B2&lt;=30,"Descontinuado","ok")</f>
        <v>ok</v>
      </c>
    </row>
    <row r="3" spans="1:6" x14ac:dyDescent="0.35">
      <c r="A3" s="43" t="s">
        <v>114</v>
      </c>
      <c r="B3" s="43">
        <v>16</v>
      </c>
      <c r="C3" s="4" t="s">
        <v>131</v>
      </c>
      <c r="D3" s="3">
        <v>129.74</v>
      </c>
      <c r="E3" s="42">
        <v>3605</v>
      </c>
      <c r="F3" s="2" t="str">
        <f>IF(B3&lt;=30,"Descontinuado","ok")</f>
        <v>Descontinuado</v>
      </c>
    </row>
    <row r="4" spans="1:6" x14ac:dyDescent="0.35">
      <c r="A4" s="43" t="s">
        <v>114</v>
      </c>
      <c r="B4" s="43">
        <v>105</v>
      </c>
      <c r="C4" s="4" t="s">
        <v>130</v>
      </c>
      <c r="D4" s="3">
        <v>89.9</v>
      </c>
      <c r="E4" s="42">
        <v>4927</v>
      </c>
      <c r="F4" s="2" t="str">
        <f>IF(B4&lt;=30,"Descontinuado","ok")</f>
        <v>ok</v>
      </c>
    </row>
    <row r="5" spans="1:6" x14ac:dyDescent="0.35">
      <c r="A5" s="43" t="s">
        <v>114</v>
      </c>
      <c r="B5" s="43">
        <v>83</v>
      </c>
      <c r="C5" s="4" t="s">
        <v>129</v>
      </c>
      <c r="D5" s="3">
        <v>299</v>
      </c>
      <c r="E5" s="42">
        <v>7108</v>
      </c>
      <c r="F5" s="2" t="str">
        <f>IF(B5&lt;=30,"Descontinuado","ok")</f>
        <v>ok</v>
      </c>
    </row>
    <row r="6" spans="1:6" x14ac:dyDescent="0.35">
      <c r="A6" s="43" t="s">
        <v>114</v>
      </c>
      <c r="B6" s="43">
        <v>161</v>
      </c>
      <c r="C6" s="4" t="s">
        <v>128</v>
      </c>
      <c r="D6" s="3">
        <v>57.32</v>
      </c>
      <c r="E6" s="42">
        <v>4598</v>
      </c>
      <c r="F6" s="2" t="str">
        <f>IF(B6&lt;=30,"Descontinuado","ok")</f>
        <v>ok</v>
      </c>
    </row>
    <row r="7" spans="1:6" x14ac:dyDescent="0.35">
      <c r="A7" s="43" t="s">
        <v>114</v>
      </c>
      <c r="B7" s="43">
        <v>170</v>
      </c>
      <c r="C7" s="4" t="s">
        <v>127</v>
      </c>
      <c r="D7" s="3">
        <v>103.18</v>
      </c>
      <c r="E7" s="42">
        <v>9200</v>
      </c>
      <c r="F7" s="2" t="str">
        <f>IF(B7&lt;=30,"Descontinuado","ok")</f>
        <v>ok</v>
      </c>
    </row>
    <row r="8" spans="1:6" x14ac:dyDescent="0.35">
      <c r="A8" s="43" t="s">
        <v>114</v>
      </c>
      <c r="B8" s="43">
        <v>74</v>
      </c>
      <c r="C8" s="4" t="s">
        <v>126</v>
      </c>
      <c r="D8" s="3">
        <v>175.71</v>
      </c>
      <c r="E8" s="42">
        <v>1099</v>
      </c>
      <c r="F8" s="2" t="str">
        <f>IF(B8&lt;=30,"Descontinuado","ok")</f>
        <v>ok</v>
      </c>
    </row>
    <row r="9" spans="1:6" x14ac:dyDescent="0.35">
      <c r="A9" s="43" t="s">
        <v>114</v>
      </c>
      <c r="B9" s="43">
        <v>22</v>
      </c>
      <c r="C9" s="4" t="s">
        <v>125</v>
      </c>
      <c r="D9" s="3">
        <v>2.29</v>
      </c>
      <c r="E9" s="42">
        <v>7228</v>
      </c>
      <c r="F9" s="2" t="str">
        <f>IF(B9&lt;=30,"Descontinuado","ok")</f>
        <v>Descontinuado</v>
      </c>
    </row>
    <row r="10" spans="1:6" x14ac:dyDescent="0.35">
      <c r="A10" s="43" t="s">
        <v>114</v>
      </c>
      <c r="B10" s="43">
        <v>84</v>
      </c>
      <c r="C10" s="4" t="s">
        <v>124</v>
      </c>
      <c r="D10" s="3">
        <v>115.56</v>
      </c>
      <c r="E10" s="42">
        <v>8434</v>
      </c>
      <c r="F10" s="2" t="str">
        <f>IF(B10&lt;=30,"Descontinuado","ok")</f>
        <v>ok</v>
      </c>
    </row>
    <row r="11" spans="1:6" x14ac:dyDescent="0.35">
      <c r="A11" s="43" t="s">
        <v>114</v>
      </c>
      <c r="B11" s="43">
        <v>35</v>
      </c>
      <c r="C11" s="4" t="s">
        <v>123</v>
      </c>
      <c r="D11" s="3">
        <v>69.34</v>
      </c>
      <c r="E11" s="42">
        <v>3877</v>
      </c>
      <c r="F11" s="2" t="str">
        <f>IF(B11&lt;=30,"Descontinuado","ok")</f>
        <v>ok</v>
      </c>
    </row>
    <row r="12" spans="1:6" x14ac:dyDescent="0.35">
      <c r="A12" s="43" t="s">
        <v>114</v>
      </c>
      <c r="B12" s="43">
        <v>0</v>
      </c>
      <c r="C12" s="4" t="s">
        <v>122</v>
      </c>
      <c r="D12" s="3">
        <v>194.14</v>
      </c>
      <c r="E12" s="42">
        <v>1432</v>
      </c>
      <c r="F12" s="2" t="str">
        <f>IF(B12&lt;=30,"Descontinuado","ok")</f>
        <v>Descontinuado</v>
      </c>
    </row>
    <row r="13" spans="1:6" x14ac:dyDescent="0.35">
      <c r="A13" s="43" t="s">
        <v>114</v>
      </c>
      <c r="B13" s="43">
        <v>180</v>
      </c>
      <c r="C13" s="4" t="s">
        <v>121</v>
      </c>
      <c r="D13" s="3">
        <v>208.01</v>
      </c>
      <c r="E13" s="42">
        <v>7915</v>
      </c>
      <c r="F13" s="2" t="str">
        <f>IF(B13&lt;=30,"Descontinuado","ok")</f>
        <v>ok</v>
      </c>
    </row>
    <row r="14" spans="1:6" x14ac:dyDescent="0.35">
      <c r="A14" s="43" t="s">
        <v>114</v>
      </c>
      <c r="B14" s="43">
        <v>94</v>
      </c>
      <c r="C14" s="4" t="s">
        <v>120</v>
      </c>
      <c r="D14" s="3">
        <v>102.87</v>
      </c>
      <c r="E14" s="42">
        <v>1293</v>
      </c>
      <c r="F14" s="2" t="str">
        <f>IF(B14&lt;=30,"Descontinuado","ok")</f>
        <v>ok</v>
      </c>
    </row>
    <row r="15" spans="1:6" x14ac:dyDescent="0.35">
      <c r="A15" s="43" t="s">
        <v>114</v>
      </c>
      <c r="B15" s="43">
        <v>46</v>
      </c>
      <c r="C15" s="4" t="s">
        <v>119</v>
      </c>
      <c r="D15" s="3">
        <v>114.74</v>
      </c>
      <c r="E15" s="42">
        <v>2594</v>
      </c>
      <c r="F15" s="2" t="str">
        <f>IF(B15&lt;=30,"Descontinuado","ok")</f>
        <v>ok</v>
      </c>
    </row>
    <row r="16" spans="1:6" x14ac:dyDescent="0.35">
      <c r="A16" s="43" t="s">
        <v>114</v>
      </c>
      <c r="B16" s="43">
        <v>45</v>
      </c>
      <c r="C16" s="4" t="s">
        <v>118</v>
      </c>
      <c r="D16" s="3">
        <v>87.9</v>
      </c>
      <c r="E16" s="42">
        <v>5329</v>
      </c>
      <c r="F16" s="2" t="str">
        <f>IF(B16&lt;=30,"Descontinuado","ok")</f>
        <v>ok</v>
      </c>
    </row>
    <row r="17" spans="1:6" x14ac:dyDescent="0.35">
      <c r="A17" s="43" t="s">
        <v>114</v>
      </c>
      <c r="B17" s="43">
        <v>13</v>
      </c>
      <c r="C17" s="4" t="s">
        <v>117</v>
      </c>
      <c r="D17" s="3">
        <v>9.2899999999999991</v>
      </c>
      <c r="E17" s="42">
        <v>1932</v>
      </c>
      <c r="F17" s="2" t="str">
        <f>IF(B17&lt;=30,"Descontinuado","ok")</f>
        <v>Descontinuado</v>
      </c>
    </row>
    <row r="18" spans="1:6" x14ac:dyDescent="0.35">
      <c r="A18" s="43" t="s">
        <v>114</v>
      </c>
      <c r="B18" s="43">
        <v>75</v>
      </c>
      <c r="C18" s="4" t="s">
        <v>116</v>
      </c>
      <c r="D18" s="3">
        <v>20.9</v>
      </c>
      <c r="E18" s="42">
        <v>1072</v>
      </c>
      <c r="F18" s="2" t="str">
        <f>IF(B18&lt;=30,"Descontinuado","ok")</f>
        <v>ok</v>
      </c>
    </row>
    <row r="19" spans="1:6" x14ac:dyDescent="0.35">
      <c r="A19" s="43" t="s">
        <v>114</v>
      </c>
      <c r="B19" s="43">
        <v>48</v>
      </c>
      <c r="C19" s="4" t="s">
        <v>115</v>
      </c>
      <c r="D19" s="3">
        <v>75.7</v>
      </c>
      <c r="E19" s="42">
        <v>8493</v>
      </c>
      <c r="F19" s="2" t="str">
        <f>IF(B19&lt;=30,"Descontinuado","ok")</f>
        <v>ok</v>
      </c>
    </row>
    <row r="20" spans="1:6" x14ac:dyDescent="0.35">
      <c r="A20" s="43" t="s">
        <v>114</v>
      </c>
      <c r="B20" s="43">
        <v>59</v>
      </c>
      <c r="C20" s="4" t="s">
        <v>113</v>
      </c>
      <c r="D20" s="3">
        <v>25.29</v>
      </c>
      <c r="E20" s="42">
        <v>1291</v>
      </c>
      <c r="F20" s="2" t="str">
        <f>IF(B20&lt;=30,"Descontinuado","ok")</f>
        <v>ok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B1:G17"/>
  <sheetViews>
    <sheetView workbookViewId="0">
      <selection activeCell="G11" sqref="G11"/>
    </sheetView>
  </sheetViews>
  <sheetFormatPr defaultRowHeight="14.5" x14ac:dyDescent="0.35"/>
  <cols>
    <col min="1" max="1" width="3" customWidth="1"/>
    <col min="2" max="2" width="16" customWidth="1"/>
    <col min="3" max="3" width="18" customWidth="1"/>
    <col min="4" max="4" width="25" customWidth="1"/>
    <col min="5" max="5" width="5" customWidth="1"/>
    <col min="6" max="6" width="25" customWidth="1"/>
    <col min="7" max="7" width="20" customWidth="1"/>
  </cols>
  <sheetData>
    <row r="1" spans="2:7" x14ac:dyDescent="0.35">
      <c r="B1" s="1" t="s">
        <v>0</v>
      </c>
      <c r="C1" s="1" t="s">
        <v>1</v>
      </c>
      <c r="D1" s="1" t="s">
        <v>2</v>
      </c>
      <c r="F1" s="1" t="s">
        <v>2</v>
      </c>
      <c r="G1" s="1" t="s">
        <v>3</v>
      </c>
    </row>
    <row r="2" spans="2:7" x14ac:dyDescent="0.35">
      <c r="B2" s="2" t="s">
        <v>4</v>
      </c>
      <c r="C2" s="3">
        <v>31964.82</v>
      </c>
      <c r="D2" s="4" t="s">
        <v>5</v>
      </c>
      <c r="F2" s="4" t="s">
        <v>5</v>
      </c>
      <c r="G2" s="3">
        <f>SUMIF(D:D,F2,C:C)</f>
        <v>88535.44</v>
      </c>
    </row>
    <row r="3" spans="2:7" x14ac:dyDescent="0.35">
      <c r="B3" s="2" t="s">
        <v>4</v>
      </c>
      <c r="C3" s="3">
        <v>28422.18</v>
      </c>
      <c r="D3" s="4" t="s">
        <v>6</v>
      </c>
      <c r="F3" s="4" t="s">
        <v>6</v>
      </c>
      <c r="G3" s="3">
        <f t="shared" ref="G3:G5" si="0">SUMIF(D:D,F3,C:C)</f>
        <v>133045.04999999999</v>
      </c>
    </row>
    <row r="4" spans="2:7" x14ac:dyDescent="0.35">
      <c r="B4" s="2" t="s">
        <v>4</v>
      </c>
      <c r="C4" s="3">
        <v>26939.06</v>
      </c>
      <c r="D4" s="4" t="s">
        <v>7</v>
      </c>
      <c r="F4" s="4" t="s">
        <v>7</v>
      </c>
      <c r="G4" s="3">
        <f t="shared" si="0"/>
        <v>113143.75</v>
      </c>
    </row>
    <row r="5" spans="2:7" x14ac:dyDescent="0.35">
      <c r="B5" s="2" t="s">
        <v>4</v>
      </c>
      <c r="C5" s="3">
        <v>13747.51</v>
      </c>
      <c r="D5" s="4" t="s">
        <v>8</v>
      </c>
      <c r="F5" s="4" t="s">
        <v>8</v>
      </c>
      <c r="G5" s="3">
        <f t="shared" si="0"/>
        <v>109800.09999999999</v>
      </c>
    </row>
    <row r="6" spans="2:7" x14ac:dyDescent="0.35">
      <c r="B6" s="5" t="s">
        <v>9</v>
      </c>
      <c r="C6" s="6">
        <v>18098.61</v>
      </c>
      <c r="D6" s="7" t="s">
        <v>5</v>
      </c>
    </row>
    <row r="7" spans="2:7" x14ac:dyDescent="0.35">
      <c r="B7" s="5" t="s">
        <v>9</v>
      </c>
      <c r="C7" s="6">
        <v>30244.69</v>
      </c>
      <c r="D7" s="7" t="s">
        <v>6</v>
      </c>
    </row>
    <row r="8" spans="2:7" x14ac:dyDescent="0.35">
      <c r="B8" s="5" t="s">
        <v>9</v>
      </c>
      <c r="C8" s="6">
        <v>35552.65</v>
      </c>
      <c r="D8" s="7" t="s">
        <v>7</v>
      </c>
    </row>
    <row r="9" spans="2:7" x14ac:dyDescent="0.35">
      <c r="B9" s="5" t="s">
        <v>9</v>
      </c>
      <c r="C9" s="6">
        <v>33198.25</v>
      </c>
      <c r="D9" s="7" t="s">
        <v>8</v>
      </c>
    </row>
    <row r="10" spans="2:7" x14ac:dyDescent="0.35">
      <c r="B10" s="2" t="s">
        <v>10</v>
      </c>
      <c r="C10" s="3">
        <v>19949.080000000002</v>
      </c>
      <c r="D10" s="4" t="s">
        <v>5</v>
      </c>
    </row>
    <row r="11" spans="2:7" x14ac:dyDescent="0.35">
      <c r="B11" s="2" t="s">
        <v>10</v>
      </c>
      <c r="C11" s="3">
        <v>44380.08</v>
      </c>
      <c r="D11" s="4" t="s">
        <v>6</v>
      </c>
    </row>
    <row r="12" spans="2:7" x14ac:dyDescent="0.35">
      <c r="B12" s="2" t="s">
        <v>10</v>
      </c>
      <c r="C12" s="3">
        <v>31382.79</v>
      </c>
      <c r="D12" s="4" t="s">
        <v>7</v>
      </c>
    </row>
    <row r="13" spans="2:7" x14ac:dyDescent="0.35">
      <c r="B13" s="2" t="s">
        <v>10</v>
      </c>
      <c r="C13" s="3">
        <v>40946.949999999997</v>
      </c>
      <c r="D13" s="4" t="s">
        <v>8</v>
      </c>
    </row>
    <row r="14" spans="2:7" x14ac:dyDescent="0.35">
      <c r="B14" s="5" t="s">
        <v>11</v>
      </c>
      <c r="C14" s="6">
        <v>18522.93</v>
      </c>
      <c r="D14" s="7" t="s">
        <v>5</v>
      </c>
    </row>
    <row r="15" spans="2:7" x14ac:dyDescent="0.35">
      <c r="B15" s="5" t="s">
        <v>11</v>
      </c>
      <c r="C15" s="6">
        <v>29998.1</v>
      </c>
      <c r="D15" s="7" t="s">
        <v>6</v>
      </c>
    </row>
    <row r="16" spans="2:7" x14ac:dyDescent="0.35">
      <c r="B16" s="5" t="s">
        <v>11</v>
      </c>
      <c r="C16" s="6">
        <v>19269.25</v>
      </c>
      <c r="D16" s="7" t="s">
        <v>7</v>
      </c>
    </row>
    <row r="17" spans="2:4" x14ac:dyDescent="0.35">
      <c r="B17" s="5" t="s">
        <v>11</v>
      </c>
      <c r="C17" s="6">
        <v>21907.39</v>
      </c>
      <c r="D17" s="7" t="s">
        <v>8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4A31-1DE4-459C-B1F7-1D3E0A0657B6}">
  <sheetPr>
    <tabColor theme="7"/>
  </sheetPr>
  <dimension ref="B1:J21"/>
  <sheetViews>
    <sheetView workbookViewId="0">
      <selection activeCell="K11" sqref="K11"/>
    </sheetView>
  </sheetViews>
  <sheetFormatPr defaultRowHeight="14.5" x14ac:dyDescent="0.35"/>
  <cols>
    <col min="1" max="1" width="3" customWidth="1"/>
    <col min="2" max="2" width="14" customWidth="1"/>
    <col min="3" max="4" width="16" customWidth="1"/>
    <col min="5" max="5" width="14" customWidth="1"/>
    <col min="6" max="6" width="10" customWidth="1"/>
    <col min="7" max="7" width="16" customWidth="1"/>
    <col min="8" max="8" width="5" customWidth="1"/>
    <col min="9" max="9" width="16" customWidth="1"/>
    <col min="10" max="10" width="22" customWidth="1"/>
  </cols>
  <sheetData>
    <row r="1" spans="2:10" x14ac:dyDescent="0.35">
      <c r="B1" s="33" t="s">
        <v>0</v>
      </c>
      <c r="C1" s="33" t="s">
        <v>100</v>
      </c>
      <c r="D1" s="33" t="s">
        <v>99</v>
      </c>
      <c r="E1" s="33" t="s">
        <v>98</v>
      </c>
      <c r="F1" s="33" t="s">
        <v>97</v>
      </c>
      <c r="G1" s="33" t="s">
        <v>96</v>
      </c>
      <c r="I1" s="33" t="s">
        <v>99</v>
      </c>
      <c r="J1" s="33" t="s">
        <v>103</v>
      </c>
    </row>
    <row r="2" spans="2:10" x14ac:dyDescent="0.35">
      <c r="B2" s="2" t="s">
        <v>95</v>
      </c>
      <c r="C2" s="2" t="s">
        <v>94</v>
      </c>
      <c r="D2" s="4" t="s">
        <v>16</v>
      </c>
      <c r="E2" s="2" t="s">
        <v>93</v>
      </c>
      <c r="F2" s="32">
        <v>9</v>
      </c>
      <c r="G2" s="3">
        <v>35.26</v>
      </c>
      <c r="I2" s="2" t="s">
        <v>16</v>
      </c>
      <c r="J2" s="2">
        <f>COUNTIF(D2:D21,I2)</f>
        <v>4</v>
      </c>
    </row>
    <row r="3" spans="2:10" x14ac:dyDescent="0.35">
      <c r="B3" s="2" t="s">
        <v>95</v>
      </c>
      <c r="C3" s="2" t="s">
        <v>90</v>
      </c>
      <c r="D3" s="4" t="s">
        <v>89</v>
      </c>
      <c r="E3" s="2" t="s">
        <v>88</v>
      </c>
      <c r="F3" s="32">
        <v>1</v>
      </c>
      <c r="G3" s="3">
        <v>269.44</v>
      </c>
      <c r="I3" s="2" t="s">
        <v>89</v>
      </c>
      <c r="J3" s="2">
        <f>COUNTIF(D3:D22,I3)</f>
        <v>4</v>
      </c>
    </row>
    <row r="4" spans="2:10" x14ac:dyDescent="0.35">
      <c r="B4" s="2" t="s">
        <v>91</v>
      </c>
      <c r="C4" s="2" t="s">
        <v>86</v>
      </c>
      <c r="D4" s="4" t="s">
        <v>61</v>
      </c>
      <c r="E4" s="2" t="s">
        <v>85</v>
      </c>
      <c r="F4" s="32">
        <v>4</v>
      </c>
      <c r="G4" s="3">
        <v>39.950000000000003</v>
      </c>
      <c r="I4" s="2" t="s">
        <v>61</v>
      </c>
      <c r="J4" s="2">
        <f>COUNTIF(D4:D23,I4)</f>
        <v>3</v>
      </c>
    </row>
    <row r="5" spans="2:10" x14ac:dyDescent="0.35">
      <c r="B5" s="2" t="s">
        <v>91</v>
      </c>
      <c r="C5" s="2" t="s">
        <v>83</v>
      </c>
      <c r="D5" s="4" t="s">
        <v>82</v>
      </c>
      <c r="E5" s="2" t="s">
        <v>81</v>
      </c>
      <c r="F5" s="32">
        <v>4</v>
      </c>
      <c r="G5" s="3">
        <v>181.29</v>
      </c>
      <c r="I5" s="2" t="s">
        <v>82</v>
      </c>
      <c r="J5" s="2">
        <f>COUNTIF(D5:D24,I5)</f>
        <v>3</v>
      </c>
    </row>
    <row r="6" spans="2:10" x14ac:dyDescent="0.35">
      <c r="B6" s="2" t="s">
        <v>87</v>
      </c>
      <c r="C6" s="2" t="s">
        <v>79</v>
      </c>
      <c r="D6" s="4" t="s">
        <v>78</v>
      </c>
      <c r="E6" s="2" t="s">
        <v>77</v>
      </c>
      <c r="F6" s="32">
        <v>6</v>
      </c>
      <c r="G6" s="3">
        <v>164.32</v>
      </c>
      <c r="I6" s="2" t="s">
        <v>78</v>
      </c>
      <c r="J6" s="2">
        <f>COUNTIF(D6:D25,I6)</f>
        <v>3</v>
      </c>
    </row>
    <row r="7" spans="2:10" x14ac:dyDescent="0.35">
      <c r="B7" s="2" t="s">
        <v>87</v>
      </c>
      <c r="C7" s="2" t="s">
        <v>74</v>
      </c>
      <c r="D7" s="4" t="s">
        <v>69</v>
      </c>
      <c r="E7" s="2" t="s">
        <v>93</v>
      </c>
      <c r="F7" s="32">
        <v>7</v>
      </c>
      <c r="G7" s="3">
        <v>68.92</v>
      </c>
      <c r="I7" s="2" t="s">
        <v>69</v>
      </c>
      <c r="J7" s="2">
        <f>COUNTIF(D7:D26,I7)</f>
        <v>3</v>
      </c>
    </row>
    <row r="8" spans="2:10" x14ac:dyDescent="0.35">
      <c r="B8" s="2" t="s">
        <v>84</v>
      </c>
      <c r="C8" s="2" t="s">
        <v>102</v>
      </c>
      <c r="D8" s="4" t="s">
        <v>16</v>
      </c>
      <c r="E8" s="2" t="s">
        <v>88</v>
      </c>
      <c r="F8" s="32">
        <v>9</v>
      </c>
      <c r="G8" s="3">
        <v>41.89</v>
      </c>
    </row>
    <row r="9" spans="2:10" x14ac:dyDescent="0.35">
      <c r="B9" s="2" t="s">
        <v>84</v>
      </c>
      <c r="C9" s="2" t="s">
        <v>66</v>
      </c>
      <c r="D9" s="4" t="s">
        <v>89</v>
      </c>
      <c r="E9" s="2" t="s">
        <v>85</v>
      </c>
      <c r="F9" s="32">
        <v>8</v>
      </c>
      <c r="G9" s="3">
        <v>152.09</v>
      </c>
    </row>
    <row r="10" spans="2:10" x14ac:dyDescent="0.35">
      <c r="B10" s="2" t="s">
        <v>80</v>
      </c>
      <c r="C10" s="2" t="s">
        <v>62</v>
      </c>
      <c r="D10" s="4" t="s">
        <v>61</v>
      </c>
      <c r="E10" s="2" t="s">
        <v>81</v>
      </c>
      <c r="F10" s="32">
        <v>7</v>
      </c>
      <c r="G10" s="3">
        <v>95.57</v>
      </c>
    </row>
    <row r="11" spans="2:10" x14ac:dyDescent="0.35">
      <c r="B11" s="2" t="s">
        <v>80</v>
      </c>
      <c r="C11" s="2" t="s">
        <v>58</v>
      </c>
      <c r="D11" s="4" t="s">
        <v>82</v>
      </c>
      <c r="E11" s="2" t="s">
        <v>77</v>
      </c>
      <c r="F11" s="32">
        <v>2</v>
      </c>
      <c r="G11" s="3">
        <v>248.79</v>
      </c>
    </row>
    <row r="12" spans="2:10" x14ac:dyDescent="0.35">
      <c r="B12" s="2" t="s">
        <v>75</v>
      </c>
      <c r="C12" s="2" t="s">
        <v>54</v>
      </c>
      <c r="D12" s="4" t="s">
        <v>78</v>
      </c>
      <c r="E12" s="2" t="s">
        <v>93</v>
      </c>
      <c r="F12" s="32">
        <v>2</v>
      </c>
      <c r="G12" s="3">
        <v>250.87</v>
      </c>
    </row>
    <row r="13" spans="2:10" x14ac:dyDescent="0.35">
      <c r="B13" s="2" t="s">
        <v>75</v>
      </c>
      <c r="C13" s="2" t="s">
        <v>49</v>
      </c>
      <c r="D13" s="4" t="s">
        <v>69</v>
      </c>
      <c r="E13" s="2" t="s">
        <v>88</v>
      </c>
      <c r="F13" s="32">
        <v>10</v>
      </c>
      <c r="G13" s="3">
        <v>289.33999999999997</v>
      </c>
    </row>
    <row r="14" spans="2:10" x14ac:dyDescent="0.35">
      <c r="B14" s="2" t="s">
        <v>71</v>
      </c>
      <c r="C14" s="2" t="s">
        <v>45</v>
      </c>
      <c r="D14" s="4" t="s">
        <v>16</v>
      </c>
      <c r="E14" s="2" t="s">
        <v>85</v>
      </c>
      <c r="F14" s="32">
        <v>4</v>
      </c>
      <c r="G14" s="3">
        <v>120.42</v>
      </c>
    </row>
    <row r="15" spans="2:10" x14ac:dyDescent="0.35">
      <c r="B15" s="2" t="s">
        <v>71</v>
      </c>
      <c r="C15" s="2" t="s">
        <v>41</v>
      </c>
      <c r="D15" s="4" t="s">
        <v>89</v>
      </c>
      <c r="E15" s="2" t="s">
        <v>81</v>
      </c>
      <c r="F15" s="32">
        <v>7</v>
      </c>
      <c r="G15" s="3">
        <v>54.48</v>
      </c>
    </row>
    <row r="16" spans="2:10" x14ac:dyDescent="0.35">
      <c r="B16" s="2" t="s">
        <v>67</v>
      </c>
      <c r="C16" s="2" t="s">
        <v>37</v>
      </c>
      <c r="D16" s="4" t="s">
        <v>61</v>
      </c>
      <c r="E16" s="2" t="s">
        <v>77</v>
      </c>
      <c r="F16" s="32">
        <v>3</v>
      </c>
      <c r="G16" s="3">
        <v>212.86</v>
      </c>
    </row>
    <row r="17" spans="2:7" x14ac:dyDescent="0.35">
      <c r="B17" s="2" t="s">
        <v>67</v>
      </c>
      <c r="C17" s="2" t="s">
        <v>33</v>
      </c>
      <c r="D17" s="4" t="s">
        <v>82</v>
      </c>
      <c r="E17" s="2" t="s">
        <v>93</v>
      </c>
      <c r="F17" s="32">
        <v>1</v>
      </c>
      <c r="G17" s="3">
        <v>103.77</v>
      </c>
    </row>
    <row r="18" spans="2:7" x14ac:dyDescent="0.35">
      <c r="B18" s="2" t="s">
        <v>63</v>
      </c>
      <c r="C18" s="2" t="s">
        <v>29</v>
      </c>
      <c r="D18" s="4" t="s">
        <v>78</v>
      </c>
      <c r="E18" s="2" t="s">
        <v>88</v>
      </c>
      <c r="F18" s="32">
        <v>2</v>
      </c>
      <c r="G18" s="3">
        <v>141.41999999999999</v>
      </c>
    </row>
    <row r="19" spans="2:7" x14ac:dyDescent="0.35">
      <c r="B19" s="2" t="s">
        <v>63</v>
      </c>
      <c r="C19" s="2" t="s">
        <v>25</v>
      </c>
      <c r="D19" s="4" t="s">
        <v>69</v>
      </c>
      <c r="E19" s="2" t="s">
        <v>85</v>
      </c>
      <c r="F19" s="32">
        <v>7</v>
      </c>
      <c r="G19" s="3">
        <v>262.83</v>
      </c>
    </row>
    <row r="20" spans="2:7" x14ac:dyDescent="0.35">
      <c r="B20" s="2" t="s">
        <v>59</v>
      </c>
      <c r="C20" s="2" t="s">
        <v>21</v>
      </c>
      <c r="D20" s="4" t="s">
        <v>16</v>
      </c>
      <c r="E20" s="2" t="s">
        <v>81</v>
      </c>
      <c r="F20" s="32">
        <v>3</v>
      </c>
      <c r="G20" s="3">
        <v>213.25</v>
      </c>
    </row>
    <row r="21" spans="2:7" x14ac:dyDescent="0.35">
      <c r="B21" s="2" t="s">
        <v>59</v>
      </c>
      <c r="C21" s="2" t="s">
        <v>101</v>
      </c>
      <c r="D21" s="4" t="s">
        <v>89</v>
      </c>
      <c r="E21" s="2" t="s">
        <v>77</v>
      </c>
      <c r="F21" s="32">
        <v>7</v>
      </c>
      <c r="G21" s="3">
        <v>75.12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4E1E-C1E6-4181-8394-A468F5BA7DED}">
  <sheetPr>
    <tabColor rgb="FF0070C0"/>
  </sheetPr>
  <dimension ref="B1:G22"/>
  <sheetViews>
    <sheetView workbookViewId="0">
      <selection activeCell="F12" sqref="F12"/>
    </sheetView>
  </sheetViews>
  <sheetFormatPr defaultRowHeight="14.5" x14ac:dyDescent="0.35"/>
  <cols>
    <col min="1" max="1" width="3" customWidth="1"/>
    <col min="2" max="2" width="22" customWidth="1"/>
    <col min="3" max="3" width="18" customWidth="1"/>
    <col min="4" max="4" width="25" customWidth="1"/>
    <col min="7" max="7" width="32.7265625" style="18" customWidth="1"/>
  </cols>
  <sheetData>
    <row r="1" spans="2:7" x14ac:dyDescent="0.35">
      <c r="B1" s="41" t="s">
        <v>112</v>
      </c>
      <c r="C1" s="40"/>
      <c r="D1" s="40"/>
    </row>
    <row r="2" spans="2:7" x14ac:dyDescent="0.35">
      <c r="B2" s="39" t="s">
        <v>111</v>
      </c>
      <c r="C2" s="39" t="s">
        <v>110</v>
      </c>
      <c r="D2" s="39" t="s">
        <v>109</v>
      </c>
      <c r="G2" s="38" t="s">
        <v>108</v>
      </c>
    </row>
    <row r="3" spans="2:7" x14ac:dyDescent="0.35">
      <c r="B3" s="36" t="s">
        <v>16</v>
      </c>
      <c r="C3" s="35">
        <v>6606</v>
      </c>
      <c r="D3" s="34" t="s">
        <v>104</v>
      </c>
      <c r="G3" s="30">
        <f>COUNTA(D3:D22)</f>
        <v>13</v>
      </c>
    </row>
    <row r="4" spans="2:7" x14ac:dyDescent="0.35">
      <c r="B4" s="36" t="s">
        <v>89</v>
      </c>
      <c r="C4" s="35">
        <v>2157</v>
      </c>
      <c r="D4" s="34"/>
    </row>
    <row r="5" spans="2:7" x14ac:dyDescent="0.35">
      <c r="B5" s="36" t="s">
        <v>61</v>
      </c>
      <c r="C5" s="35">
        <v>2406</v>
      </c>
      <c r="D5" s="34" t="s">
        <v>104</v>
      </c>
    </row>
    <row r="6" spans="2:7" x14ac:dyDescent="0.35">
      <c r="B6" s="36" t="s">
        <v>82</v>
      </c>
      <c r="C6" s="35">
        <v>3660</v>
      </c>
      <c r="D6" s="34" t="s">
        <v>104</v>
      </c>
      <c r="G6" s="38" t="s">
        <v>107</v>
      </c>
    </row>
    <row r="7" spans="2:7" x14ac:dyDescent="0.35">
      <c r="B7" s="36" t="s">
        <v>78</v>
      </c>
      <c r="C7" s="35">
        <v>7808</v>
      </c>
      <c r="D7" s="34" t="s">
        <v>104</v>
      </c>
      <c r="G7" s="30">
        <f>COUNTBLANK(D3:D22)</f>
        <v>7</v>
      </c>
    </row>
    <row r="8" spans="2:7" x14ac:dyDescent="0.35">
      <c r="B8" s="36" t="s">
        <v>73</v>
      </c>
      <c r="C8" s="35">
        <v>7971</v>
      </c>
      <c r="D8" s="34"/>
    </row>
    <row r="9" spans="2:7" x14ac:dyDescent="0.35">
      <c r="B9" s="36" t="s">
        <v>69</v>
      </c>
      <c r="C9" s="35">
        <v>5321</v>
      </c>
      <c r="D9" s="34" t="s">
        <v>104</v>
      </c>
    </row>
    <row r="10" spans="2:7" x14ac:dyDescent="0.35">
      <c r="B10" s="36" t="s">
        <v>65</v>
      </c>
      <c r="C10" s="35">
        <v>7017</v>
      </c>
      <c r="D10" s="34"/>
      <c r="G10" s="38" t="s">
        <v>106</v>
      </c>
    </row>
    <row r="11" spans="2:7" x14ac:dyDescent="0.35">
      <c r="B11" s="36" t="s">
        <v>61</v>
      </c>
      <c r="C11" s="35">
        <v>1107</v>
      </c>
      <c r="D11" s="34"/>
      <c r="G11" s="37">
        <f>G3/SUM(G3,G7)</f>
        <v>0.65</v>
      </c>
    </row>
    <row r="12" spans="2:7" x14ac:dyDescent="0.35">
      <c r="B12" s="36" t="s">
        <v>57</v>
      </c>
      <c r="C12" s="35">
        <v>9576</v>
      </c>
      <c r="D12" s="34"/>
    </row>
    <row r="13" spans="2:7" x14ac:dyDescent="0.35">
      <c r="B13" s="36" t="s">
        <v>53</v>
      </c>
      <c r="C13" s="35">
        <v>1750</v>
      </c>
      <c r="D13" s="34" t="s">
        <v>104</v>
      </c>
    </row>
    <row r="14" spans="2:7" x14ac:dyDescent="0.35">
      <c r="B14" s="36" t="s">
        <v>48</v>
      </c>
      <c r="C14" s="35">
        <v>2991</v>
      </c>
      <c r="D14" s="34"/>
    </row>
    <row r="15" spans="2:7" x14ac:dyDescent="0.35">
      <c r="B15" s="36" t="s">
        <v>44</v>
      </c>
      <c r="C15" s="35">
        <v>5362</v>
      </c>
      <c r="D15" s="34" t="s">
        <v>104</v>
      </c>
    </row>
    <row r="16" spans="2:7" x14ac:dyDescent="0.35">
      <c r="B16" s="36" t="s">
        <v>40</v>
      </c>
      <c r="C16" s="35">
        <v>7745</v>
      </c>
      <c r="D16" s="34" t="s">
        <v>104</v>
      </c>
    </row>
    <row r="17" spans="2:4" x14ac:dyDescent="0.35">
      <c r="B17" s="36" t="s">
        <v>36</v>
      </c>
      <c r="C17" s="35">
        <v>3861</v>
      </c>
      <c r="D17" s="34" t="s">
        <v>104</v>
      </c>
    </row>
    <row r="18" spans="2:4" x14ac:dyDescent="0.35">
      <c r="B18" s="36" t="s">
        <v>32</v>
      </c>
      <c r="C18" s="35">
        <v>9671</v>
      </c>
      <c r="D18" s="34" t="s">
        <v>104</v>
      </c>
    </row>
    <row r="19" spans="2:4" x14ac:dyDescent="0.35">
      <c r="B19" s="36" t="s">
        <v>28</v>
      </c>
      <c r="C19" s="35">
        <v>8213</v>
      </c>
      <c r="D19" s="34" t="s">
        <v>104</v>
      </c>
    </row>
    <row r="20" spans="2:4" x14ac:dyDescent="0.35">
      <c r="B20" s="36" t="s">
        <v>105</v>
      </c>
      <c r="C20" s="35">
        <v>5298</v>
      </c>
      <c r="D20" s="34" t="s">
        <v>104</v>
      </c>
    </row>
    <row r="21" spans="2:4" x14ac:dyDescent="0.35">
      <c r="B21" s="36" t="s">
        <v>20</v>
      </c>
      <c r="C21" s="35">
        <v>3495</v>
      </c>
      <c r="D21" s="34" t="s">
        <v>104</v>
      </c>
    </row>
    <row r="22" spans="2:4" x14ac:dyDescent="0.35">
      <c r="B22" s="36" t="s">
        <v>16</v>
      </c>
      <c r="C22" s="35">
        <v>8048</v>
      </c>
      <c r="D22" s="34"/>
    </row>
  </sheetData>
  <mergeCells count="1">
    <mergeCell ref="B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SOMA_MEDIA_CONTE.VALORES</vt:lpstr>
      <vt:lpstr>PROCV_MAX_MIN</vt:lpstr>
      <vt:lpstr>PROCX</vt:lpstr>
      <vt:lpstr>SE</vt:lpstr>
      <vt:lpstr>SOMASE</vt:lpstr>
      <vt:lpstr>CONT.SE</vt:lpstr>
      <vt:lpstr>CONTE.VALORES_CONTARVAZIO_%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2026-08-14T02:51:24Z</dcterms:created>
  <dcterms:modified xsi:type="dcterms:W3CDTF">2026-08-17T00:33:30Z</dcterms:modified>
</cp:coreProperties>
</file>